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4"/>
    <sheet state="visible" name="Análise e Planejamento" sheetId="2" r:id="rId5"/>
    <sheet state="visible" name="Resultados Obtidos" sheetId="3" r:id="rId6"/>
    <sheet state="visible" name="Dê o Próximo Passo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5">
      <text>
        <t xml:space="preserve">Nota 5 - Extremamente Grave
Nota 4  - Muito Grave
Nota 3 - Grave
Nota 2 - Pouco Grave
Nota 1 - Sem Gravidade</t>
      </text>
    </comment>
    <comment authorId="0" ref="E15">
      <text>
        <t xml:space="preserve">Nota 5 - Precisa de Ação Imediata
Nota 4 - Muito Urgente
Nota 3 - Urgente, Merece Atenção no Curto Prazo
Nota 2 - Pouco Urgente
Nota 1 - Pode Esperar</t>
      </text>
    </comment>
    <comment authorId="0" ref="F15">
      <text>
        <t xml:space="preserve">Esse ponto a desenvolver caso eu não faça nada fará meu desempenho/saúde:
Nota 5 - Piorar Rapidamente
Nota 4 - Piorar a Longo Prazo
Nota 3 - Piorar a Médio Prazo
Nota 2 - Piorar a Curto Prazo
Nota 1 - Não Mudar</t>
      </text>
    </comment>
  </commentList>
</comments>
</file>

<file path=xl/sharedStrings.xml><?xml version="1.0" encoding="utf-8"?>
<sst xmlns="http://schemas.openxmlformats.org/spreadsheetml/2006/main" count="140" uniqueCount="48">
  <si>
    <t>INSTRUÇÕES</t>
  </si>
  <si>
    <r>
      <rPr>
        <rFont val="Red Hat Display"/>
        <color theme="1"/>
      </rPr>
      <t xml:space="preserve">Antes de começar, </t>
    </r>
    <r>
      <rPr>
        <rFont val="Red Hat Display"/>
        <b/>
        <color theme="1"/>
      </rPr>
      <t>faça a sua cópia desta planilha</t>
    </r>
    <r>
      <rPr>
        <rFont val="Red Hat Display"/>
        <color theme="1"/>
      </rPr>
      <t xml:space="preserve">. Vá até "arquivo", "fazer uma cópia", salve o documento no seu computador e pronto!
 Caso queira fazer mais de um PDI, faça uma cópia dessa planilha e a utilize para a(s) outra(s) pessoa(s), pois cada planilha serve para um PDI.
</t>
    </r>
    <r>
      <rPr>
        <rFont val="Red Hat Display"/>
        <b/>
        <color theme="1"/>
      </rPr>
      <t>Atenção, só preencha as células em cinza nas abas seguintes!</t>
    </r>
  </si>
  <si>
    <t xml:space="preserve">Na aba "Análise e Planejamento", na parte inicial, "Análise de Avaliação de Desempenho", foque em discutir com a pessoa para a qual você está fazendo o PDI (seja você do RH, líder ou mentor dessa pessoa) o resultado da avaliação de desempenho dela. Caso não exista uma avaliação de desempenho pré-PDI, não há problema, busque insumos com as pessoas que trabalham próximo a ela, com seus líderes e com a própria pessoa sobre seus pontos fortes e pontos a desenvolver. </t>
  </si>
  <si>
    <t>Na aba "Análise e Planejamento", na parte de "Priorizando Pontos a Desenvolver", preencha a matriz GUT para definir qual será o foco do PDI e os pontos a desenvolver secundários.
Após preencher a matriz, defina os indicadores que servirão para mensurar se a pessoa está progredindo ou não, bem como as metas para cada um dos indicadores definidos.</t>
  </si>
  <si>
    <t>Matriz GUT - O que é? - Item 8</t>
  </si>
  <si>
    <t>Na aba "Resultados Obtidos", preencha apenas as células em cinza das colunas E e F. As demais células e gráficos são atualizados automaticamente. Utilize essa aba para acompanhar ao longo do próximo período se os resultados obtidos pela pessoa no período estão de acordo com as metas.</t>
  </si>
  <si>
    <t>ANÁLISE DE AVALIAÇÃO DE DESEMPENHO</t>
  </si>
  <si>
    <t>Quais foram os pontos fortes levantados ?</t>
  </si>
  <si>
    <t>Caso não tenha uma avaliação de desempenho prévia, discuta com a pessoa, com seu(s) líder(es) direto(s) e pessoas que trabalham próximo a ela quais são seus pontos fortes e seus pontos a desenvolver.</t>
  </si>
  <si>
    <t>Quais foram os pontos a desenvolver levantados?</t>
  </si>
  <si>
    <t>PRIORIZANDO PONTOS A DESENVOLVER</t>
  </si>
  <si>
    <t>Matriz GUT (Gravidade, Urgência, Tendência)</t>
  </si>
  <si>
    <t>#</t>
  </si>
  <si>
    <t>Multiplicação (GxUxT)</t>
  </si>
  <si>
    <t>Pontos a Desenvolver</t>
  </si>
  <si>
    <t>Gravidade</t>
  </si>
  <si>
    <t>Urgência</t>
  </si>
  <si>
    <t>Tendência</t>
  </si>
  <si>
    <t>Qual Ponto a Desenvolver Priorizar?</t>
  </si>
  <si>
    <t>OBJETIVO PRINCIPAL DO PDI</t>
  </si>
  <si>
    <t>INDICADOR(ES) QUE MEDE(M) SE VOCÊ ESTÁ SE APROXIMANDO OU NÃO DE CONQUISTAR ESSE OBJETIVO</t>
  </si>
  <si>
    <t>META AO FINAL DO PERÍODO</t>
  </si>
  <si>
    <t>OBJETIVOS SECUNDÁRIOS DO PDI</t>
  </si>
  <si>
    <t>INDICADORES QUE MEDE(M) SE VOCÊ ESTÁ SE APROXIMANDO OU NÃO DE CONQUISTAR ESSE OBJETIVO</t>
  </si>
  <si>
    <t>EXEMPLO</t>
  </si>
  <si>
    <t>Sair da minha zona de conforto</t>
  </si>
  <si>
    <t>Começar projetos fora do meu padrão de trabalho</t>
  </si>
  <si>
    <t>2 projetos</t>
  </si>
  <si>
    <t>Me comunicar melhor com as pessoas</t>
  </si>
  <si>
    <t>Número de pessoas diferentes que conversei pelo menos 15 minutos na empresa e que nunca havia conversado</t>
  </si>
  <si>
    <t>10 pessoas</t>
  </si>
  <si>
    <t>...</t>
  </si>
  <si>
    <t>RESULTADOS OBTIDOS AO LONGO DO ANO</t>
  </si>
  <si>
    <t>NÃO ALTERE AS COLUNAS EM BRANCO - ELAS SÃO AUTOMATICAMENTE PREENCHIDAS APÓS A DEFINIÇÃO DE OBJETIVOS NA ABA "ANÁLISE E PLANEJAMENTO"</t>
  </si>
  <si>
    <t>PREENCHA NESSA COLUNA AS METAS DEFINIDAS POR VOCÊ E, TAMBÉM, RESULTADOS OBTIDOS AO LONGO DO ANO PARA OS INDICADORES DEFINIDOS PREVIAMENTE</t>
  </si>
  <si>
    <t>APÓS PREENCHER AS COLUNAS "E" E "F" COM AS METAS E RESULTADOS OBTIDOS OS GRÁFICOS ABAIXO SERÃO ATUALIZADOS AUTOMATICAMENTE</t>
  </si>
  <si>
    <t>Mês</t>
  </si>
  <si>
    <t>Tipo de Objetivo</t>
  </si>
  <si>
    <t>Objetivo</t>
  </si>
  <si>
    <t>Indicador</t>
  </si>
  <si>
    <t>Meta</t>
  </si>
  <si>
    <t>Resultado Obtido</t>
  </si>
  <si>
    <t>Principal</t>
  </si>
  <si>
    <t>Secundário</t>
  </si>
  <si>
    <t>DESENVOLVA SEUS 
COLABORADORES</t>
  </si>
  <si>
    <t>Já pensou gerar todos esses gráficos, metas e PDIs de maneira automatizada?</t>
  </si>
  <si>
    <t>Experimente grátis nossa plataforma e dê o próximo passo para tornar o RH da sua empresa mais eficiente!</t>
  </si>
  <si>
    <t>Quero Tornar Meu RH Eficiente!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</si>
</sst>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/yyyy"/>
  </numFmts>
  <fonts count="26">
    <font>
      <sz val="10.0"/>
      <color rgb="FF000000"/>
      <name val="Arial"/>
      <scheme val="minor"/>
    </font>
    <font>
      <b/>
      <sz val="36.0"/>
      <color rgb="FFFFFFFF"/>
      <name val="Red Hat Display"/>
    </font>
    <font/>
    <font>
      <sz val="36.0"/>
      <color rgb="FF80297D"/>
      <name val="Red Hat Display"/>
    </font>
    <font>
      <color theme="1"/>
      <name val="Red Hat Display"/>
    </font>
    <font>
      <sz val="36.0"/>
      <color rgb="FFFFFFFF"/>
      <name val="Red Hat Display"/>
    </font>
    <font>
      <u/>
      <color rgb="FF1155CC"/>
      <name val="Red Hat Display"/>
    </font>
    <font>
      <b/>
      <sz val="26.0"/>
      <color rgb="FFFFFFFF"/>
      <name val="Red Hat Display"/>
    </font>
    <font>
      <sz val="10.0"/>
      <color rgb="FFFFFFFF"/>
      <name val="Red Hat Display"/>
    </font>
    <font>
      <sz val="10.0"/>
      <color rgb="FF80297D"/>
      <name val="Red Hat Display"/>
    </font>
    <font>
      <sz val="10.0"/>
      <color theme="0"/>
      <name val="Red Hat Display"/>
    </font>
    <font>
      <sz val="10.0"/>
      <color rgb="FF000000"/>
      <name val="Red Hat Display"/>
    </font>
    <font>
      <b/>
      <sz val="12.0"/>
      <color rgb="FF000000"/>
      <name val="Red Hat Display"/>
    </font>
    <font>
      <b/>
      <sz val="12.0"/>
      <color rgb="FFFFFFFF"/>
      <name val="Red Hat Display"/>
    </font>
    <font>
      <sz val="12.0"/>
      <color rgb="FF000000"/>
      <name val="Red Hat Display"/>
    </font>
    <font>
      <sz val="12.0"/>
      <color theme="1"/>
      <name val="Red Hat Display"/>
    </font>
    <font>
      <b/>
      <sz val="18.0"/>
      <color rgb="FF80297D"/>
      <name val="Red Hat Display"/>
    </font>
    <font>
      <b/>
      <sz val="10.0"/>
      <color rgb="FFFFFFFF"/>
      <name val="Red Hat Display"/>
    </font>
    <font>
      <b/>
      <sz val="24.0"/>
      <color rgb="FF493082"/>
      <name val="Montserrat"/>
    </font>
    <font>
      <b/>
      <sz val="12.0"/>
      <color rgb="FFFFFFFF"/>
      <name val="Montserrat"/>
    </font>
    <font>
      <b/>
      <sz val="12.0"/>
      <color theme="1"/>
      <name val="Montserrat"/>
    </font>
    <font>
      <sz val="12.0"/>
      <color theme="1"/>
      <name val="Montserrat"/>
    </font>
    <font>
      <color theme="1"/>
      <name val="Montserrat"/>
    </font>
    <font>
      <sz val="18.0"/>
      <color theme="1"/>
      <name val="Red Hat Display"/>
    </font>
    <font>
      <sz val="14.0"/>
      <color rgb="FF80297D"/>
      <name val="Red Hat Display"/>
    </font>
    <font>
      <u/>
      <sz val="24.0"/>
      <color rgb="FFFFFFFF"/>
      <name val="Red Hat Display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297D"/>
        <bgColor rgb="FF80297D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EA4335"/>
        <bgColor rgb="FFEA4335"/>
      </patternFill>
    </fill>
    <fill>
      <patternFill patternType="solid">
        <fgColor rgb="FF34A853"/>
        <bgColor rgb="FF34A853"/>
      </patternFill>
    </fill>
    <fill>
      <patternFill patternType="solid">
        <fgColor rgb="FF493082"/>
        <bgColor rgb="FF493082"/>
      </patternFill>
    </fill>
    <fill>
      <patternFill patternType="solid">
        <fgColor rgb="FFD9D9D9"/>
        <bgColor rgb="FFD9D9D9"/>
      </patternFill>
    </fill>
  </fills>
  <borders count="44">
    <border/>
    <border>
      <left style="thick">
        <color rgb="FF493082"/>
      </left>
      <top style="thick">
        <color rgb="FF493082"/>
      </top>
    </border>
    <border>
      <top style="thick">
        <color rgb="FF493082"/>
      </top>
    </border>
    <border>
      <right style="thick">
        <color rgb="FF493082"/>
      </right>
      <top style="thick">
        <color rgb="FF493082"/>
      </top>
    </border>
    <border>
      <left style="thick">
        <color rgb="FF493082"/>
      </left>
    </border>
    <border>
      <right style="thick">
        <color rgb="FF493082"/>
      </right>
    </border>
    <border>
      <left style="thick">
        <color rgb="FF493082"/>
      </left>
      <bottom style="thick">
        <color rgb="FF493082"/>
      </bottom>
    </border>
    <border>
      <bottom style="thick">
        <color rgb="FF493082"/>
      </bottom>
    </border>
    <border>
      <right style="thick">
        <color rgb="FF493082"/>
      </right>
      <bottom style="thick">
        <color rgb="FF493082"/>
      </bottom>
    </border>
    <border>
      <left style="thin">
        <color rgb="FF80297D"/>
      </left>
      <top style="thin">
        <color rgb="FF80297D"/>
      </top>
    </border>
    <border>
      <right style="thin">
        <color rgb="FF80297D"/>
      </right>
      <top style="thin">
        <color rgb="FF80297D"/>
      </top>
    </border>
    <border>
      <left style="thin">
        <color rgb="FF80297D"/>
      </left>
      <bottom style="thin">
        <color rgb="FF493082"/>
      </bottom>
    </border>
    <border>
      <right style="thin">
        <color rgb="FF80297D"/>
      </right>
      <bottom style="thin">
        <color rgb="FF493082"/>
      </bottom>
    </border>
    <border>
      <left style="thin">
        <color rgb="FF80297D"/>
      </left>
      <top style="thin">
        <color rgb="FF493082"/>
      </top>
      <bottom style="thin">
        <color rgb="FF493082"/>
      </bottom>
    </border>
    <border>
      <right style="thin">
        <color rgb="FF80297D"/>
      </right>
      <top style="thin">
        <color rgb="FF493082"/>
      </top>
      <bottom style="thin">
        <color rgb="FF493082"/>
      </bottom>
    </border>
    <border>
      <left style="thin">
        <color rgb="FF80297D"/>
      </left>
      <top style="thin">
        <color rgb="FF493082"/>
      </top>
      <bottom style="thin">
        <color rgb="FF80297D"/>
      </bottom>
    </border>
    <border>
      <right style="thin">
        <color rgb="FF80297D"/>
      </right>
      <top style="thin">
        <color rgb="FF493082"/>
      </top>
      <bottom style="thin">
        <color rgb="FF80297D"/>
      </bottom>
    </border>
    <border>
      <left style="thick">
        <color rgb="FF493082"/>
      </left>
      <top style="thick">
        <color rgb="FF493082"/>
      </top>
      <bottom style="thin">
        <color rgb="FF493082"/>
      </bottom>
    </border>
    <border>
      <top style="thick">
        <color rgb="FF493082"/>
      </top>
      <bottom style="thin">
        <color rgb="FF493082"/>
      </bottom>
    </border>
    <border>
      <right style="thick">
        <color rgb="FF493082"/>
      </right>
      <top style="thick">
        <color rgb="FF493082"/>
      </top>
      <bottom style="thin">
        <color rgb="FF493082"/>
      </bottom>
    </border>
    <border>
      <left style="thick">
        <color rgb="FF493082"/>
      </left>
      <right style="thin">
        <color rgb="FF493082"/>
      </right>
      <top style="thin">
        <color rgb="FF493082"/>
      </top>
      <bottom style="thin">
        <color rgb="FF493082"/>
      </bottom>
    </border>
    <border>
      <left style="thin">
        <color rgb="FF493082"/>
      </left>
      <right style="thin">
        <color rgb="FF493082"/>
      </right>
      <top style="thin">
        <color rgb="FF493082"/>
      </top>
      <bottom style="thin">
        <color rgb="FF493082"/>
      </bottom>
    </border>
    <border>
      <left style="thin">
        <color rgb="FF493082"/>
      </left>
      <right style="thick">
        <color rgb="FF493082"/>
      </right>
      <top style="thin">
        <color rgb="FF493082"/>
      </top>
      <bottom style="thin">
        <color rgb="FF493082"/>
      </bottom>
    </border>
    <border>
      <left style="thick">
        <color rgb="FF493082"/>
      </left>
      <right style="thin">
        <color rgb="FF493082"/>
      </right>
      <top style="thin">
        <color rgb="FF493082"/>
      </top>
      <bottom style="thick">
        <color rgb="FF493082"/>
      </bottom>
    </border>
    <border>
      <left style="thin">
        <color rgb="FF493082"/>
      </left>
      <right style="thin">
        <color rgb="FF493082"/>
      </right>
      <top style="thin">
        <color rgb="FF493082"/>
      </top>
      <bottom style="thick">
        <color rgb="FF493082"/>
      </bottom>
    </border>
    <border>
      <left style="thin">
        <color rgb="FF493082"/>
      </left>
      <right style="thick">
        <color rgb="FF493082"/>
      </right>
      <top style="thin">
        <color rgb="FF493082"/>
      </top>
      <bottom style="thick">
        <color rgb="FF493082"/>
      </bottom>
    </border>
    <border>
      <top style="thin">
        <color rgb="FF80297D"/>
      </top>
    </border>
    <border>
      <left style="thin">
        <color rgb="FF80297D"/>
      </left>
      <bottom style="thin">
        <color rgb="FF80297D"/>
      </bottom>
    </border>
    <border>
      <bottom style="thin">
        <color rgb="FF80297D"/>
      </bottom>
    </border>
    <border>
      <right style="thin">
        <color rgb="FF80297D"/>
      </right>
      <bottom style="thin">
        <color rgb="FF80297D"/>
      </bottom>
    </border>
    <border>
      <left style="thin">
        <color rgb="FF80297D"/>
      </left>
    </border>
    <border>
      <right style="thin">
        <color rgb="FF80297D"/>
      </right>
    </border>
    <border>
      <left style="thick">
        <color rgb="FF493082"/>
      </left>
      <top style="thick">
        <color rgb="FF493082"/>
      </top>
      <bottom style="thick">
        <color rgb="FF493082"/>
      </bottom>
    </border>
    <border>
      <top style="thick">
        <color rgb="FF493082"/>
      </top>
      <bottom style="thick">
        <color rgb="FF493082"/>
      </bottom>
    </border>
    <border>
      <right style="thick">
        <color rgb="FF493082"/>
      </right>
      <top style="thick">
        <color rgb="FF493082"/>
      </top>
      <bottom style="thick">
        <color rgb="FF493082"/>
      </bottom>
    </border>
    <border>
      <left style="thick">
        <color rgb="FF493082"/>
      </left>
      <bottom style="thin">
        <color rgb="FF493082"/>
      </bottom>
    </border>
    <border>
      <bottom style="thin">
        <color rgb="FF493082"/>
      </bottom>
    </border>
    <border>
      <right style="thick">
        <color rgb="FF493082"/>
      </right>
      <bottom style="thin">
        <color rgb="FF493082"/>
      </bottom>
    </border>
    <border>
      <left style="thick">
        <color rgb="FF493082"/>
      </left>
      <top style="thin">
        <color rgb="FF493082"/>
      </top>
      <bottom style="thin">
        <color rgb="FF493082"/>
      </bottom>
    </border>
    <border>
      <top style="thin">
        <color rgb="FF493082"/>
      </top>
      <bottom style="thin">
        <color rgb="FF493082"/>
      </bottom>
    </border>
    <border>
      <right style="thick">
        <color rgb="FF493082"/>
      </right>
      <top style="thin">
        <color rgb="FF493082"/>
      </top>
      <bottom style="thin">
        <color rgb="FF493082"/>
      </bottom>
    </border>
    <border>
      <left style="thick">
        <color rgb="FF493082"/>
      </left>
      <top style="thin">
        <color rgb="FF493082"/>
      </top>
      <bottom style="thick">
        <color rgb="FF493082"/>
      </bottom>
    </border>
    <border>
      <top style="thin">
        <color rgb="FF493082"/>
      </top>
      <bottom style="thick">
        <color rgb="FF493082"/>
      </bottom>
    </border>
    <border>
      <right style="thick">
        <color rgb="FF493082"/>
      </right>
      <top style="thin">
        <color rgb="FF493082"/>
      </top>
      <bottom style="thick">
        <color rgb="FF493082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4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5" fillId="0" fontId="2" numFmtId="0" xfId="0" applyBorder="1" applyFont="1"/>
    <xf borderId="4" fillId="3" fontId="5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0" fillId="0" fontId="6" numFmtId="0" xfId="0" applyAlignment="1" applyFont="1">
      <alignment horizontal="center" readingOrder="0" shrinkToFit="0" vertical="center" wrapText="1"/>
    </xf>
    <xf borderId="6" fillId="3" fontId="5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0" fillId="3" fontId="7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9" fillId="4" fontId="9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0" fillId="3" fontId="10" numFmtId="0" xfId="0" applyAlignment="1" applyFont="1">
      <alignment horizontal="center" readingOrder="0" shrinkToFit="0" vertical="center" wrapText="1"/>
    </xf>
    <xf borderId="11" fillId="0" fontId="11" numFmtId="0" xfId="0" applyAlignment="1" applyBorder="1" applyFont="1">
      <alignment horizontal="center" readingOrder="0" shrinkToFit="0" vertical="center" wrapText="1"/>
    </xf>
    <xf borderId="12" fillId="5" fontId="11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11" fillId="0" fontId="9" numFmtId="0" xfId="0" applyAlignment="1" applyBorder="1" applyFont="1">
      <alignment horizontal="center" readingOrder="0" shrinkToFit="0" vertical="center" wrapText="1"/>
    </xf>
    <xf borderId="12" fillId="5" fontId="9" numFmtId="0" xfId="0" applyAlignment="1" applyBorder="1" applyFont="1">
      <alignment horizontal="center" readingOrder="0" shrinkToFit="0" vertical="center" wrapText="1"/>
    </xf>
    <xf borderId="13" fillId="0" fontId="11" numFmtId="0" xfId="0" applyAlignment="1" applyBorder="1" applyFont="1">
      <alignment horizontal="center" readingOrder="0" shrinkToFit="0" vertical="center" wrapText="1"/>
    </xf>
    <xf borderId="14" fillId="5" fontId="11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4" fillId="5" fontId="9" numFmtId="0" xfId="0" applyAlignment="1" applyBorder="1" applyFont="1">
      <alignment horizontal="center" readingOrder="0" shrinkToFit="0" vertical="center" wrapText="1"/>
    </xf>
    <xf borderId="15" fillId="0" fontId="11" numFmtId="0" xfId="0" applyAlignment="1" applyBorder="1" applyFont="1">
      <alignment horizontal="center" readingOrder="0" shrinkToFit="0" vertical="center" wrapText="1"/>
    </xf>
    <xf borderId="16" fillId="5" fontId="11" numFmtId="0" xfId="0" applyAlignment="1" applyBorder="1" applyFont="1">
      <alignment horizontal="center" readingOrder="0" shrinkToFit="0" vertical="center" wrapText="1"/>
    </xf>
    <xf borderId="15" fillId="0" fontId="9" numFmtId="0" xfId="0" applyAlignment="1" applyBorder="1" applyFont="1">
      <alignment horizontal="center" readingOrder="0" shrinkToFit="0" vertical="center" wrapText="1"/>
    </xf>
    <xf borderId="16" fillId="5" fontId="9" numFmtId="0" xfId="0" applyAlignment="1" applyBorder="1" applyFont="1">
      <alignment horizontal="center" readingOrder="0" shrinkToFit="0" vertical="center" wrapText="1"/>
    </xf>
    <xf borderId="17" fillId="0" fontId="12" numFmtId="0" xfId="0" applyAlignment="1" applyBorder="1" applyFont="1">
      <alignment horizontal="center" readingOrder="0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2" fontId="12" numFmtId="0" xfId="0" applyAlignment="1" applyBorder="1" applyFont="1">
      <alignment horizontal="center" readingOrder="0" shrinkToFit="0" vertical="center" wrapText="1"/>
    </xf>
    <xf borderId="21" fillId="2" fontId="12" numFmtId="0" xfId="0" applyAlignment="1" applyBorder="1" applyFont="1">
      <alignment horizontal="center" readingOrder="0" shrinkToFit="0" vertical="center" wrapText="1"/>
    </xf>
    <xf borderId="22" fillId="2" fontId="12" numFmtId="0" xfId="0" applyAlignment="1" applyBorder="1" applyFont="1">
      <alignment horizontal="center" readingOrder="0" shrinkToFit="0" vertical="center" wrapText="1"/>
    </xf>
    <xf borderId="20" fillId="2" fontId="11" numFmtId="0" xfId="0" applyAlignment="1" applyBorder="1" applyFont="1">
      <alignment horizontal="center" readingOrder="0" shrinkToFit="0" vertical="center" wrapText="1"/>
    </xf>
    <xf borderId="21" fillId="2" fontId="11" numFmtId="0" xfId="0" applyAlignment="1" applyBorder="1" applyFont="1">
      <alignment horizontal="center" readingOrder="0" shrinkToFit="0" vertical="center" wrapText="1"/>
    </xf>
    <xf borderId="21" fillId="5" fontId="11" numFmtId="0" xfId="0" applyAlignment="1" applyBorder="1" applyFont="1">
      <alignment horizontal="center" readingOrder="0" shrinkToFit="0" vertical="center" wrapText="1"/>
    </xf>
    <xf borderId="22" fillId="2" fontId="11" numFmtId="0" xfId="0" applyAlignment="1" applyBorder="1" applyFont="1">
      <alignment horizontal="center" readingOrder="0" shrinkToFit="0" vertical="center" wrapText="1"/>
    </xf>
    <xf borderId="23" fillId="2" fontId="11" numFmtId="0" xfId="0" applyAlignment="1" applyBorder="1" applyFont="1">
      <alignment horizontal="center" readingOrder="0" shrinkToFit="0" vertical="center" wrapText="1"/>
    </xf>
    <xf borderId="24" fillId="2" fontId="11" numFmtId="0" xfId="0" applyAlignment="1" applyBorder="1" applyFont="1">
      <alignment horizontal="center" readingOrder="0" shrinkToFit="0" vertical="center" wrapText="1"/>
    </xf>
    <xf borderId="24" fillId="5" fontId="11" numFmtId="0" xfId="0" applyAlignment="1" applyBorder="1" applyFont="1">
      <alignment horizontal="center" readingOrder="0" shrinkToFit="0" vertical="center" wrapText="1"/>
    </xf>
    <xf borderId="25" fillId="2" fontId="11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9" fillId="3" fontId="13" numFmtId="0" xfId="0" applyAlignment="1" applyBorder="1" applyFont="1">
      <alignment horizontal="center" readingOrder="0" shrinkToFit="0" vertical="center" wrapText="1"/>
    </xf>
    <xf borderId="26" fillId="0" fontId="2" numFmtId="0" xfId="0" applyBorder="1" applyFont="1"/>
    <xf borderId="26" fillId="3" fontId="13" numFmtId="0" xfId="0" applyAlignment="1" applyBorder="1" applyFont="1">
      <alignment horizontal="center" readingOrder="0" shrinkToFit="0" vertical="center" wrapText="1"/>
    </xf>
    <xf borderId="10" fillId="3" fontId="13" numFmtId="0" xfId="0" applyAlignment="1" applyBorder="1" applyFont="1">
      <alignment horizontal="center" readingOrder="0" shrinkToFit="0" vertical="center" wrapText="1"/>
    </xf>
    <xf borderId="27" fillId="2" fontId="14" numFmtId="0" xfId="0" applyAlignment="1" applyBorder="1" applyFont="1">
      <alignment horizontal="center" readingOrder="0" shrinkToFit="0" vertical="center" wrapText="1"/>
    </xf>
    <xf borderId="28" fillId="0" fontId="2" numFmtId="0" xfId="0" applyBorder="1" applyFont="1"/>
    <xf borderId="28" fillId="5" fontId="14" numFmtId="0" xfId="0" applyAlignment="1" applyBorder="1" applyFont="1">
      <alignment horizontal="center" readingOrder="0" shrinkToFit="0" vertical="center" wrapText="1"/>
    </xf>
    <xf borderId="29" fillId="5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Font="1"/>
    <xf borderId="30" fillId="2" fontId="11" numFmtId="0" xfId="0" applyAlignment="1" applyBorder="1" applyFont="1">
      <alignment horizontal="center" readingOrder="0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31" fillId="5" fontId="11" numFmtId="0" xfId="0" applyAlignment="1" applyBorder="1" applyFont="1">
      <alignment horizontal="center" shrinkToFit="0" vertical="center" wrapText="1"/>
    </xf>
    <xf borderId="27" fillId="2" fontId="11" numFmtId="0" xfId="0" applyAlignment="1" applyBorder="1" applyFont="1">
      <alignment horizontal="center" readingOrder="0" shrinkToFit="0" vertical="center" wrapText="1"/>
    </xf>
    <xf borderId="28" fillId="5" fontId="11" numFmtId="0" xfId="0" applyAlignment="1" applyBorder="1" applyFont="1">
      <alignment horizontal="center" readingOrder="0" shrinkToFit="0" vertical="center" wrapText="1"/>
    </xf>
    <xf borderId="29" fillId="5" fontId="11" numFmtId="0" xfId="0" applyAlignment="1" applyBorder="1" applyFont="1">
      <alignment horizontal="center" shrinkToFit="0" vertical="center" wrapText="1"/>
    </xf>
    <xf borderId="32" fillId="2" fontId="16" numFmtId="0" xfId="0" applyAlignment="1" applyBorder="1" applyFont="1">
      <alignment horizontal="center" readingOrder="0" shrinkToFit="0" vertical="center" wrapText="1"/>
    </xf>
    <xf borderId="33" fillId="0" fontId="2" numFmtId="0" xfId="0" applyBorder="1" applyFont="1"/>
    <xf borderId="34" fillId="0" fontId="2" numFmtId="0" xfId="0" applyBorder="1" applyFont="1"/>
    <xf borderId="1" fillId="3" fontId="17" numFmtId="0" xfId="0" applyAlignment="1" applyBorder="1" applyFont="1">
      <alignment horizontal="center" readingOrder="0" shrinkToFit="0" vertical="center" wrapText="1"/>
    </xf>
    <xf borderId="2" fillId="3" fontId="17" numFmtId="0" xfId="0" applyAlignment="1" applyBorder="1" applyFont="1">
      <alignment horizontal="center" readingOrder="0" shrinkToFit="0" vertical="center" wrapText="1"/>
    </xf>
    <xf borderId="3" fillId="3" fontId="17" numFmtId="0" xfId="0" applyAlignment="1" applyBorder="1" applyFont="1">
      <alignment horizontal="center" readingOrder="0" shrinkToFit="0" vertical="center" wrapText="1"/>
    </xf>
    <xf borderId="32" fillId="0" fontId="11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shrinkToFit="0" vertical="center" wrapText="1"/>
    </xf>
    <xf borderId="0" fillId="3" fontId="17" numFmtId="0" xfId="0" applyAlignment="1" applyFont="1">
      <alignment horizontal="center" readingOrder="0" shrinkToFit="0" vertical="center" wrapText="1"/>
    </xf>
    <xf borderId="5" fillId="3" fontId="17" numFmtId="0" xfId="0" applyAlignment="1" applyBorder="1" applyFont="1">
      <alignment horizontal="center" readingOrder="0" shrinkToFit="0" vertical="center" wrapText="1"/>
    </xf>
    <xf borderId="4" fillId="2" fontId="11" numFmtId="0" xfId="0" applyAlignment="1" applyBorder="1" applyFont="1">
      <alignment horizontal="center" readingOrder="0" shrinkToFit="0" vertical="center" wrapText="1"/>
    </xf>
    <xf borderId="5" fillId="2" fontId="11" numFmtId="0" xfId="0" applyAlignment="1" applyBorder="1" applyFont="1">
      <alignment horizontal="center" readingOrder="0" shrinkToFit="0" vertical="center" wrapText="1"/>
    </xf>
    <xf borderId="6" fillId="2" fontId="11" numFmtId="0" xfId="0" applyAlignment="1" applyBorder="1" applyFont="1">
      <alignment horizontal="center" readingOrder="0" shrinkToFit="0" vertical="center" wrapText="1"/>
    </xf>
    <xf borderId="7" fillId="2" fontId="11" numFmtId="0" xfId="0" applyAlignment="1" applyBorder="1" applyFont="1">
      <alignment horizontal="center" readingOrder="0" shrinkToFit="0" vertical="center" wrapText="1"/>
    </xf>
    <xf borderId="8" fillId="2" fontId="11" numFmtId="0" xfId="0" applyAlignment="1" applyBorder="1" applyFont="1">
      <alignment horizontal="center" readingOrder="0" shrinkToFit="0" vertical="center" wrapText="1"/>
    </xf>
    <xf borderId="17" fillId="2" fontId="18" numFmtId="0" xfId="0" applyAlignment="1" applyBorder="1" applyFont="1">
      <alignment horizontal="center" readingOrder="0" shrinkToFit="0" vertical="center" wrapText="1"/>
    </xf>
    <xf borderId="35" fillId="6" fontId="19" numFmtId="0" xfId="0" applyAlignment="1" applyBorder="1" applyFill="1" applyFont="1">
      <alignment horizontal="center" readingOrder="0" shrinkToFit="0" vertical="center" wrapText="1"/>
    </xf>
    <xf borderId="36" fillId="0" fontId="2" numFmtId="0" xfId="0" applyBorder="1" applyFont="1"/>
    <xf borderId="36" fillId="7" fontId="19" numFmtId="0" xfId="0" applyAlignment="1" applyBorder="1" applyFill="1" applyFont="1">
      <alignment horizontal="center" readingOrder="0" shrinkToFit="0" vertical="center" wrapText="1"/>
    </xf>
    <xf borderId="37" fillId="0" fontId="2" numFmtId="0" xfId="0" applyBorder="1" applyFont="1"/>
    <xf borderId="0" fillId="8" fontId="19" numFmtId="0" xfId="0" applyAlignment="1" applyFill="1" applyFont="1">
      <alignment horizontal="center" readingOrder="0" shrinkToFit="0" vertical="center" wrapText="1"/>
    </xf>
    <xf borderId="38" fillId="0" fontId="20" numFmtId="0" xfId="0" applyAlignment="1" applyBorder="1" applyFont="1">
      <alignment horizontal="center" readingOrder="0" vertical="center"/>
    </xf>
    <xf borderId="39" fillId="0" fontId="20" numFmtId="0" xfId="0" applyAlignment="1" applyBorder="1" applyFont="1">
      <alignment horizontal="center" readingOrder="0" vertical="center"/>
    </xf>
    <xf borderId="40" fillId="0" fontId="20" numFmtId="0" xfId="0" applyAlignment="1" applyBorder="1" applyFont="1">
      <alignment horizontal="center" readingOrder="0" vertical="center"/>
    </xf>
    <xf borderId="0" fillId="2" fontId="20" numFmtId="0" xfId="0" applyAlignment="1" applyFont="1">
      <alignment horizontal="center" readingOrder="0" vertical="center"/>
    </xf>
    <xf borderId="38" fillId="0" fontId="21" numFmtId="164" xfId="0" applyAlignment="1" applyBorder="1" applyFont="1" applyNumberFormat="1">
      <alignment horizontal="center" readingOrder="0" vertical="center"/>
    </xf>
    <xf borderId="39" fillId="0" fontId="21" numFmtId="0" xfId="0" applyAlignment="1" applyBorder="1" applyFont="1">
      <alignment horizontal="center" readingOrder="0" vertical="center"/>
    </xf>
    <xf borderId="39" fillId="0" fontId="21" numFmtId="0" xfId="0" applyAlignment="1" applyBorder="1" applyFont="1">
      <alignment horizontal="center" vertical="center"/>
    </xf>
    <xf borderId="39" fillId="0" fontId="21" numFmtId="0" xfId="0" applyAlignment="1" applyBorder="1" applyFont="1">
      <alignment horizontal="center" readingOrder="0" vertical="center"/>
    </xf>
    <xf borderId="39" fillId="9" fontId="21" numFmtId="0" xfId="0" applyAlignment="1" applyBorder="1" applyFill="1" applyFont="1">
      <alignment horizontal="center" readingOrder="0" vertical="center"/>
    </xf>
    <xf borderId="40" fillId="9" fontId="21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0" fillId="2" fontId="22" numFmtId="0" xfId="0" applyFont="1"/>
    <xf borderId="41" fillId="0" fontId="21" numFmtId="164" xfId="0" applyAlignment="1" applyBorder="1" applyFont="1" applyNumberFormat="1">
      <alignment horizontal="center" readingOrder="0" vertical="center"/>
    </xf>
    <xf borderId="42" fillId="0" fontId="21" numFmtId="0" xfId="0" applyAlignment="1" applyBorder="1" applyFont="1">
      <alignment horizontal="center" readingOrder="0" vertical="center"/>
    </xf>
    <xf borderId="42" fillId="0" fontId="21" numFmtId="0" xfId="0" applyAlignment="1" applyBorder="1" applyFont="1">
      <alignment horizontal="center" vertical="center"/>
    </xf>
    <xf borderId="42" fillId="9" fontId="21" numFmtId="0" xfId="0" applyAlignment="1" applyBorder="1" applyFont="1">
      <alignment horizontal="center" readingOrder="0" vertical="center"/>
    </xf>
    <xf borderId="43" fillId="9" fontId="21" numFmtId="0" xfId="0" applyAlignment="1" applyBorder="1" applyFont="1">
      <alignment horizontal="center" readingOrder="0" vertical="center"/>
    </xf>
    <xf borderId="0" fillId="0" fontId="22" numFmtId="0" xfId="0" applyFont="1"/>
    <xf borderId="0" fillId="3" fontId="1" numFmtId="0" xfId="0" applyAlignment="1" applyFont="1">
      <alignment horizontal="center" readingOrder="0" shrinkToFit="0" vertical="bottom" wrapText="1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3" numFmtId="0" xfId="0" applyAlignment="1" applyFont="1">
      <alignment horizontal="center" readingOrder="0" shrinkToFit="0" vertical="bottom" wrapText="1"/>
    </xf>
    <xf borderId="0" fillId="4" fontId="24" numFmtId="0" xfId="0" applyAlignment="1" applyFont="1">
      <alignment horizontal="center" readingOrder="0" shrinkToFit="0" vertical="bottom" wrapText="1"/>
    </xf>
    <xf borderId="0" fillId="3" fontId="25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1708980519"/>
        <c:axId val="875463915"/>
      </c:areaChart>
      <c:catAx>
        <c:axId val="1708980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</a:p>
        </c:txPr>
        <c:crossAx val="875463915"/>
      </c:catAx>
      <c:valAx>
        <c:axId val="87546391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089805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837094740"/>
        <c:axId val="18808912"/>
      </c:areaChart>
      <c:catAx>
        <c:axId val="837094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</a:p>
        </c:txPr>
        <c:crossAx val="18808912"/>
      </c:catAx>
      <c:valAx>
        <c:axId val="1880891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370947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1253803401"/>
        <c:axId val="313207040"/>
      </c:areaChart>
      <c:catAx>
        <c:axId val="1253803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</a:p>
        </c:txPr>
        <c:crossAx val="313207040"/>
      </c:catAx>
      <c:valAx>
        <c:axId val="31320704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538034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1327261228"/>
        <c:axId val="1777695060"/>
      </c:areaChart>
      <c:catAx>
        <c:axId val="1327261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</a:p>
        </c:txPr>
        <c:crossAx val="1777695060"/>
      </c:catAx>
      <c:valAx>
        <c:axId val="177769506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272612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622382681"/>
        <c:axId val="1468206889"/>
      </c:areaChart>
      <c:catAx>
        <c:axId val="622382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</a:p>
        </c:txPr>
        <c:crossAx val="1468206889"/>
      </c:catAx>
      <c:valAx>
        <c:axId val="146820688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22382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0</xdr:row>
      <xdr:rowOff>76200</xdr:rowOff>
    </xdr:from>
    <xdr:ext cx="1352550" cy="333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1485900</xdr:colOff>
      <xdr:row>2</xdr:row>
      <xdr:rowOff>9525</xdr:rowOff>
    </xdr:from>
    <xdr:ext cx="7458075" cy="32861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1485900</xdr:colOff>
      <xdr:row>14</xdr:row>
      <xdr:rowOff>238125</xdr:rowOff>
    </xdr:from>
    <xdr:ext cx="7458075" cy="30575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1485900</xdr:colOff>
      <xdr:row>27</xdr:row>
      <xdr:rowOff>238125</xdr:rowOff>
    </xdr:from>
    <xdr:ext cx="7458075" cy="31146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1495425</xdr:colOff>
      <xdr:row>42</xdr:row>
      <xdr:rowOff>9525</xdr:rowOff>
    </xdr:from>
    <xdr:ext cx="7458075" cy="30575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1485900</xdr:colOff>
      <xdr:row>53</xdr:row>
      <xdr:rowOff>209550</xdr:rowOff>
    </xdr:from>
    <xdr:ext cx="7458075" cy="27813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161925</xdr:colOff>
      <xdr:row>0</xdr:row>
      <xdr:rowOff>0</xdr:rowOff>
    </xdr:from>
    <xdr:ext cx="1047750" cy="390525"/>
    <xdr:pic>
      <xdr:nvPicPr>
        <xdr:cNvPr id="0" name="image2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log.solides.com.br/ferramentas-de-gesta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olides.com.br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43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79.5" customHeight="1">
      <c r="A3" s="5">
        <v>1.0</v>
      </c>
      <c r="B3" s="6" t="s">
        <v>1</v>
      </c>
      <c r="J3" s="7"/>
    </row>
    <row r="4" ht="79.5" customHeight="1">
      <c r="A4" s="8">
        <v>2.0</v>
      </c>
      <c r="B4" s="6" t="s">
        <v>2</v>
      </c>
      <c r="J4" s="7"/>
    </row>
    <row r="5" ht="79.5" customHeight="1">
      <c r="A5" s="8">
        <v>3.0</v>
      </c>
      <c r="B5" s="6" t="s">
        <v>3</v>
      </c>
      <c r="J5" s="7"/>
    </row>
    <row r="6" ht="13.5" customHeight="1">
      <c r="A6" s="9"/>
      <c r="B6" s="10" t="s">
        <v>4</v>
      </c>
      <c r="J6" s="7"/>
    </row>
    <row r="7" ht="79.5" customHeight="1">
      <c r="A7" s="11">
        <v>4.0</v>
      </c>
      <c r="B7" s="12" t="s">
        <v>5</v>
      </c>
      <c r="C7" s="13"/>
      <c r="D7" s="13"/>
      <c r="E7" s="13"/>
      <c r="F7" s="13"/>
      <c r="G7" s="13"/>
      <c r="H7" s="13"/>
      <c r="I7" s="13"/>
      <c r="J7" s="14"/>
    </row>
  </sheetData>
  <mergeCells count="7">
    <mergeCell ref="A2:J2"/>
    <mergeCell ref="B3:J3"/>
    <mergeCell ref="B4:J4"/>
    <mergeCell ref="A5:A6"/>
    <mergeCell ref="B5:J5"/>
    <mergeCell ref="B6:J6"/>
    <mergeCell ref="B7:J7"/>
  </mergeCells>
  <hyperlinks>
    <hyperlink r:id="rId1" ref="B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41.63"/>
    <col customWidth="1" min="3" max="3" width="26.88"/>
    <col customWidth="1" min="4" max="5" width="13.13"/>
    <col customWidth="1" min="6" max="6" width="26.88"/>
    <col customWidth="1" min="7" max="7" width="4.0"/>
    <col customWidth="1" min="8" max="8" width="37.75"/>
  </cols>
  <sheetData>
    <row r="1">
      <c r="A1" s="15" t="s">
        <v>6</v>
      </c>
    </row>
    <row r="2">
      <c r="A2" s="16"/>
      <c r="B2" s="16"/>
      <c r="C2" s="16"/>
      <c r="D2" s="16"/>
      <c r="E2" s="16"/>
      <c r="F2" s="16"/>
      <c r="G2" s="16"/>
      <c r="H2" s="16"/>
    </row>
    <row r="3">
      <c r="A3" s="16"/>
      <c r="B3" s="16"/>
      <c r="C3" s="16"/>
      <c r="D3" s="16"/>
      <c r="E3" s="16"/>
      <c r="F3" s="16"/>
      <c r="G3" s="16"/>
      <c r="H3" s="16"/>
    </row>
    <row r="4">
      <c r="A4" s="17" t="s">
        <v>7</v>
      </c>
      <c r="B4" s="18"/>
      <c r="C4" s="16"/>
      <c r="D4" s="19" t="s">
        <v>8</v>
      </c>
      <c r="F4" s="16"/>
      <c r="G4" s="17" t="s">
        <v>9</v>
      </c>
      <c r="H4" s="18"/>
    </row>
    <row r="5">
      <c r="A5" s="20">
        <v>1.0</v>
      </c>
      <c r="B5" s="21"/>
      <c r="C5" s="22"/>
      <c r="F5" s="22"/>
      <c r="G5" s="23">
        <v>1.0</v>
      </c>
      <c r="H5" s="24"/>
    </row>
    <row r="6">
      <c r="A6" s="25">
        <v>2.0</v>
      </c>
      <c r="B6" s="26"/>
      <c r="C6" s="22"/>
      <c r="F6" s="22"/>
      <c r="G6" s="27">
        <v>2.0</v>
      </c>
      <c r="H6" s="28"/>
    </row>
    <row r="7">
      <c r="A7" s="25">
        <v>3.0</v>
      </c>
      <c r="B7" s="26"/>
      <c r="C7" s="22"/>
      <c r="F7" s="22"/>
      <c r="G7" s="27">
        <v>3.0</v>
      </c>
      <c r="H7" s="28"/>
    </row>
    <row r="8">
      <c r="A8" s="25">
        <v>4.0</v>
      </c>
      <c r="B8" s="26"/>
      <c r="C8" s="22"/>
      <c r="F8" s="22"/>
      <c r="G8" s="27">
        <v>4.0</v>
      </c>
      <c r="H8" s="28"/>
    </row>
    <row r="9">
      <c r="A9" s="29">
        <v>5.0</v>
      </c>
      <c r="B9" s="30"/>
      <c r="C9" s="22"/>
      <c r="F9" s="22"/>
      <c r="G9" s="31">
        <v>5.0</v>
      </c>
      <c r="H9" s="32"/>
    </row>
    <row r="10">
      <c r="A10" s="22"/>
      <c r="B10" s="22"/>
      <c r="C10" s="22"/>
      <c r="D10" s="22"/>
      <c r="E10" s="22"/>
      <c r="F10" s="22"/>
      <c r="G10" s="22"/>
      <c r="H10" s="22"/>
    </row>
    <row r="11">
      <c r="A11" s="22"/>
      <c r="B11" s="22"/>
      <c r="C11" s="22"/>
      <c r="D11" s="22"/>
      <c r="E11" s="22"/>
      <c r="F11" s="22"/>
      <c r="G11" s="22"/>
      <c r="H11" s="22"/>
    </row>
    <row r="12">
      <c r="A12" s="22"/>
      <c r="B12" s="22"/>
      <c r="C12" s="22"/>
      <c r="D12" s="22"/>
      <c r="E12" s="22"/>
      <c r="F12" s="22"/>
      <c r="G12" s="22"/>
      <c r="H12" s="22"/>
    </row>
    <row r="13">
      <c r="A13" s="15" t="s">
        <v>10</v>
      </c>
    </row>
    <row r="14">
      <c r="A14" s="33" t="s">
        <v>11</v>
      </c>
      <c r="B14" s="34"/>
      <c r="C14" s="34"/>
      <c r="D14" s="34"/>
      <c r="E14" s="34"/>
      <c r="F14" s="34"/>
      <c r="G14" s="34"/>
      <c r="H14" s="35"/>
    </row>
    <row r="15">
      <c r="A15" s="36" t="s">
        <v>12</v>
      </c>
      <c r="B15" s="37" t="s">
        <v>13</v>
      </c>
      <c r="C15" s="37" t="s">
        <v>14</v>
      </c>
      <c r="D15" s="37" t="s">
        <v>15</v>
      </c>
      <c r="E15" s="37" t="s">
        <v>16</v>
      </c>
      <c r="F15" s="37" t="s">
        <v>17</v>
      </c>
      <c r="G15" s="37" t="s">
        <v>12</v>
      </c>
      <c r="H15" s="38" t="s">
        <v>18</v>
      </c>
    </row>
    <row r="16">
      <c r="A16" s="39">
        <v>1.0</v>
      </c>
      <c r="B16" s="40">
        <f t="shared" ref="B16:B20" si="1">D16*E16*F16</f>
        <v>0</v>
      </c>
      <c r="C16" s="40" t="str">
        <f t="shared" ref="C16:C20" si="2">H5</f>
        <v/>
      </c>
      <c r="D16" s="41"/>
      <c r="E16" s="41"/>
      <c r="F16" s="41"/>
      <c r="G16" s="40">
        <f t="array" ref="G16:H20">SORT(B16:C20,1,FALSE())</f>
        <v>0</v>
      </c>
      <c r="H16" s="42"/>
    </row>
    <row r="17">
      <c r="A17" s="39">
        <v>2.0</v>
      </c>
      <c r="B17" s="40">
        <f t="shared" si="1"/>
        <v>0</v>
      </c>
      <c r="C17" s="40" t="str">
        <f t="shared" si="2"/>
        <v/>
      </c>
      <c r="D17" s="41"/>
      <c r="E17" s="41"/>
      <c r="F17" s="41"/>
      <c r="G17" s="40">
        <v>0.0</v>
      </c>
      <c r="H17" s="42"/>
    </row>
    <row r="18">
      <c r="A18" s="39">
        <v>3.0</v>
      </c>
      <c r="B18" s="40">
        <f t="shared" si="1"/>
        <v>0</v>
      </c>
      <c r="C18" s="40" t="str">
        <f t="shared" si="2"/>
        <v/>
      </c>
      <c r="D18" s="41"/>
      <c r="E18" s="41"/>
      <c r="F18" s="41"/>
      <c r="G18" s="40">
        <v>0.0</v>
      </c>
      <c r="H18" s="42"/>
    </row>
    <row r="19">
      <c r="A19" s="39">
        <v>4.0</v>
      </c>
      <c r="B19" s="40">
        <f t="shared" si="1"/>
        <v>0</v>
      </c>
      <c r="C19" s="40" t="str">
        <f t="shared" si="2"/>
        <v/>
      </c>
      <c r="D19" s="41"/>
      <c r="E19" s="41"/>
      <c r="F19" s="41"/>
      <c r="G19" s="40">
        <v>0.0</v>
      </c>
      <c r="H19" s="42"/>
    </row>
    <row r="20">
      <c r="A20" s="43">
        <v>5.0</v>
      </c>
      <c r="B20" s="44">
        <f t="shared" si="1"/>
        <v>0</v>
      </c>
      <c r="C20" s="44" t="str">
        <f t="shared" si="2"/>
        <v/>
      </c>
      <c r="D20" s="45"/>
      <c r="E20" s="45"/>
      <c r="F20" s="45"/>
      <c r="G20" s="44">
        <v>0.0</v>
      </c>
      <c r="H20" s="46"/>
    </row>
    <row r="21">
      <c r="A21" s="47"/>
      <c r="B21" s="48"/>
      <c r="C21" s="48"/>
      <c r="D21" s="49"/>
      <c r="E21" s="47"/>
      <c r="F21" s="47"/>
      <c r="G21" s="47"/>
      <c r="H21" s="47"/>
    </row>
    <row r="22">
      <c r="A22" s="50"/>
      <c r="B22" s="50"/>
      <c r="C22" s="50"/>
      <c r="D22" s="50"/>
      <c r="E22" s="50"/>
      <c r="F22" s="50"/>
      <c r="G22" s="50"/>
      <c r="H22" s="50"/>
    </row>
    <row r="23">
      <c r="A23" s="50"/>
      <c r="B23" s="50"/>
      <c r="C23" s="50"/>
      <c r="D23" s="50"/>
      <c r="E23" s="50"/>
      <c r="F23" s="50"/>
      <c r="G23" s="50"/>
      <c r="H23" s="50"/>
    </row>
    <row r="24">
      <c r="A24" s="50"/>
      <c r="B24" s="51" t="s">
        <v>19</v>
      </c>
      <c r="C24" s="52"/>
      <c r="D24" s="53" t="s">
        <v>20</v>
      </c>
      <c r="E24" s="52"/>
      <c r="F24" s="52"/>
      <c r="G24" s="52"/>
      <c r="H24" s="54" t="s">
        <v>21</v>
      </c>
    </row>
    <row r="25">
      <c r="A25" s="50"/>
      <c r="B25" s="55" t="str">
        <f>H16</f>
        <v/>
      </c>
      <c r="C25" s="56"/>
      <c r="D25" s="57"/>
      <c r="E25" s="56"/>
      <c r="F25" s="56"/>
      <c r="G25" s="56"/>
      <c r="H25" s="58"/>
    </row>
    <row r="26">
      <c r="A26" s="50"/>
      <c r="B26" s="59"/>
      <c r="D26" s="60"/>
      <c r="E26" s="60"/>
      <c r="F26" s="61"/>
      <c r="G26" s="60"/>
      <c r="H26" s="60"/>
    </row>
    <row r="27">
      <c r="A27" s="50"/>
      <c r="B27" s="59"/>
      <c r="D27" s="60"/>
      <c r="E27" s="60"/>
      <c r="F27" s="61"/>
      <c r="G27" s="60"/>
      <c r="H27" s="60"/>
    </row>
    <row r="28">
      <c r="A28" s="50"/>
      <c r="B28" s="60"/>
      <c r="D28" s="60"/>
      <c r="E28" s="60"/>
      <c r="F28" s="61"/>
      <c r="G28" s="60"/>
      <c r="H28" s="60"/>
    </row>
    <row r="29">
      <c r="A29" s="50"/>
      <c r="B29" s="51" t="s">
        <v>22</v>
      </c>
      <c r="C29" s="52"/>
      <c r="D29" s="53" t="s">
        <v>23</v>
      </c>
      <c r="E29" s="52"/>
      <c r="F29" s="52"/>
      <c r="G29" s="52"/>
      <c r="H29" s="54" t="s">
        <v>21</v>
      </c>
    </row>
    <row r="30">
      <c r="A30" s="50"/>
      <c r="B30" s="62" t="str">
        <f t="shared" ref="B30:B33" si="3">H17</f>
        <v/>
      </c>
      <c r="D30" s="63"/>
      <c r="H30" s="64"/>
    </row>
    <row r="31">
      <c r="A31" s="50"/>
      <c r="B31" s="62" t="str">
        <f t="shared" si="3"/>
        <v/>
      </c>
      <c r="D31" s="63"/>
      <c r="E31" s="63"/>
      <c r="F31" s="63"/>
      <c r="G31" s="63"/>
      <c r="H31" s="64"/>
    </row>
    <row r="32">
      <c r="A32" s="50"/>
      <c r="B32" s="62" t="str">
        <f t="shared" si="3"/>
        <v/>
      </c>
      <c r="D32" s="63"/>
      <c r="H32" s="64"/>
    </row>
    <row r="33">
      <c r="A33" s="50"/>
      <c r="B33" s="65" t="str">
        <f t="shared" si="3"/>
        <v/>
      </c>
      <c r="C33" s="56"/>
      <c r="D33" s="66"/>
      <c r="E33" s="56"/>
      <c r="F33" s="56"/>
      <c r="G33" s="56"/>
      <c r="H33" s="67"/>
    </row>
    <row r="34">
      <c r="A34" s="50"/>
      <c r="B34" s="50"/>
      <c r="D34" s="50"/>
      <c r="E34" s="50"/>
      <c r="F34" s="50"/>
      <c r="G34" s="50"/>
      <c r="H34" s="50"/>
    </row>
    <row r="35">
      <c r="A35" s="50"/>
      <c r="B35" s="68" t="s">
        <v>24</v>
      </c>
      <c r="C35" s="69"/>
      <c r="D35" s="69"/>
      <c r="E35" s="69"/>
      <c r="F35" s="69"/>
      <c r="G35" s="69"/>
      <c r="H35" s="70"/>
    </row>
    <row r="36">
      <c r="A36" s="50"/>
      <c r="B36" s="71" t="s">
        <v>19</v>
      </c>
      <c r="C36" s="3"/>
      <c r="D36" s="72" t="s">
        <v>20</v>
      </c>
      <c r="E36" s="3"/>
      <c r="F36" s="3"/>
      <c r="G36" s="3"/>
      <c r="H36" s="73" t="s">
        <v>21</v>
      </c>
    </row>
    <row r="37">
      <c r="A37" s="50"/>
      <c r="B37" s="74" t="s">
        <v>25</v>
      </c>
      <c r="C37" s="69"/>
      <c r="D37" s="75" t="s">
        <v>26</v>
      </c>
      <c r="E37" s="3"/>
      <c r="F37" s="3"/>
      <c r="G37" s="3"/>
      <c r="H37" s="76" t="s">
        <v>27</v>
      </c>
    </row>
    <row r="38">
      <c r="A38" s="50"/>
      <c r="B38" s="71" t="s">
        <v>22</v>
      </c>
      <c r="C38" s="3"/>
      <c r="D38" s="77" t="s">
        <v>23</v>
      </c>
      <c r="H38" s="78" t="s">
        <v>21</v>
      </c>
    </row>
    <row r="39">
      <c r="A39" s="50"/>
      <c r="B39" s="79" t="s">
        <v>28</v>
      </c>
      <c r="D39" s="47" t="s">
        <v>29</v>
      </c>
      <c r="H39" s="80" t="s">
        <v>30</v>
      </c>
    </row>
    <row r="40">
      <c r="A40" s="50"/>
      <c r="B40" s="81" t="s">
        <v>31</v>
      </c>
      <c r="C40" s="13"/>
      <c r="D40" s="82" t="s">
        <v>31</v>
      </c>
      <c r="E40" s="13"/>
      <c r="F40" s="13"/>
      <c r="G40" s="13"/>
      <c r="H40" s="83" t="s">
        <v>31</v>
      </c>
    </row>
  </sheetData>
  <mergeCells count="34">
    <mergeCell ref="A1:H1"/>
    <mergeCell ref="A4:B4"/>
    <mergeCell ref="D4:E9"/>
    <mergeCell ref="G4:H4"/>
    <mergeCell ref="A13:H13"/>
    <mergeCell ref="A14:H14"/>
    <mergeCell ref="D24:G24"/>
    <mergeCell ref="D25:G25"/>
    <mergeCell ref="B24:C24"/>
    <mergeCell ref="B25:C25"/>
    <mergeCell ref="B26:C26"/>
    <mergeCell ref="B27:C27"/>
    <mergeCell ref="B28:C28"/>
    <mergeCell ref="B29:C29"/>
    <mergeCell ref="D29:G29"/>
    <mergeCell ref="B30:C30"/>
    <mergeCell ref="D30:G30"/>
    <mergeCell ref="B31:C31"/>
    <mergeCell ref="B32:C32"/>
    <mergeCell ref="D32:G32"/>
    <mergeCell ref="B33:C33"/>
    <mergeCell ref="D33:G33"/>
    <mergeCell ref="B38:C38"/>
    <mergeCell ref="B39:C39"/>
    <mergeCell ref="B40:C40"/>
    <mergeCell ref="D39:G39"/>
    <mergeCell ref="D40:G40"/>
    <mergeCell ref="B34:C34"/>
    <mergeCell ref="B35:H35"/>
    <mergeCell ref="B36:C36"/>
    <mergeCell ref="D36:G36"/>
    <mergeCell ref="B37:C37"/>
    <mergeCell ref="D37:G37"/>
    <mergeCell ref="D38:G38"/>
  </mergeCells>
  <conditionalFormatting sqref="G16:H20">
    <cfRule type="colorScale" priority="1">
      <colorScale>
        <cfvo type="min"/>
        <cfvo type="max"/>
        <color rgb="FFFFFFFF"/>
        <color rgb="FFE67C73"/>
      </colorScale>
    </cfRule>
  </conditionalFormatting>
  <dataValidations>
    <dataValidation type="list" allowBlank="1" showErrorMessage="1" sqref="D16:F20">
      <formula1>"1,2,3,4,5"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13"/>
    <col customWidth="1" min="5" max="5" width="17.5"/>
    <col customWidth="1" min="6" max="6" width="19.63"/>
    <col customWidth="1" min="7" max="12" width="16.38"/>
  </cols>
  <sheetData>
    <row r="1">
      <c r="A1" s="84" t="s">
        <v>32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</row>
    <row r="2">
      <c r="A2" s="85" t="s">
        <v>33</v>
      </c>
      <c r="B2" s="86"/>
      <c r="C2" s="86"/>
      <c r="D2" s="86"/>
      <c r="E2" s="87" t="s">
        <v>34</v>
      </c>
      <c r="F2" s="88"/>
      <c r="G2" s="89" t="s">
        <v>35</v>
      </c>
    </row>
    <row r="3">
      <c r="A3" s="90" t="s">
        <v>36</v>
      </c>
      <c r="B3" s="91" t="s">
        <v>37</v>
      </c>
      <c r="C3" s="91" t="s">
        <v>38</v>
      </c>
      <c r="D3" s="91" t="s">
        <v>39</v>
      </c>
      <c r="E3" s="91" t="s">
        <v>40</v>
      </c>
      <c r="F3" s="92" t="s">
        <v>41</v>
      </c>
      <c r="G3" s="93"/>
      <c r="H3" s="93"/>
      <c r="I3" s="93"/>
      <c r="J3" s="93"/>
      <c r="K3" s="93"/>
      <c r="L3" s="93"/>
    </row>
    <row r="4" ht="20.25" customHeight="1">
      <c r="A4" s="94">
        <v>44562.0</v>
      </c>
      <c r="B4" s="95" t="s">
        <v>42</v>
      </c>
      <c r="C4" s="96" t="str">
        <f>'Análise e Planejamento'!$B$25</f>
        <v/>
      </c>
      <c r="D4" s="97" t="str">
        <f>'Análise e Planejamento'!$D$25</f>
        <v/>
      </c>
      <c r="E4" s="98"/>
      <c r="F4" s="99"/>
      <c r="G4" s="100"/>
      <c r="H4" s="100"/>
      <c r="I4" s="100"/>
      <c r="J4" s="100"/>
      <c r="K4" s="100"/>
      <c r="L4" s="100"/>
    </row>
    <row r="5" ht="20.25" customHeight="1">
      <c r="A5" s="94">
        <v>44593.0</v>
      </c>
      <c r="B5" s="95" t="s">
        <v>42</v>
      </c>
      <c r="C5" s="96" t="str">
        <f>'Análise e Planejamento'!$B$25</f>
        <v/>
      </c>
      <c r="D5" s="97" t="str">
        <f>'Análise e Planejamento'!$D$25</f>
        <v/>
      </c>
      <c r="E5" s="98"/>
      <c r="F5" s="99"/>
      <c r="G5" s="100"/>
      <c r="H5" s="100"/>
      <c r="I5" s="100"/>
      <c r="J5" s="100"/>
      <c r="K5" s="100"/>
      <c r="L5" s="100"/>
    </row>
    <row r="6" ht="20.25" customHeight="1">
      <c r="A6" s="94">
        <v>44621.0</v>
      </c>
      <c r="B6" s="95" t="s">
        <v>42</v>
      </c>
      <c r="C6" s="96" t="str">
        <f>'Análise e Planejamento'!$B$25</f>
        <v/>
      </c>
      <c r="D6" s="97" t="str">
        <f>'Análise e Planejamento'!$D$25</f>
        <v/>
      </c>
      <c r="E6" s="98"/>
      <c r="F6" s="99"/>
      <c r="G6" s="100"/>
      <c r="H6" s="100"/>
      <c r="I6" s="100"/>
      <c r="J6" s="100"/>
      <c r="K6" s="100"/>
      <c r="L6" s="100"/>
    </row>
    <row r="7" ht="20.25" customHeight="1">
      <c r="A7" s="94">
        <v>44652.0</v>
      </c>
      <c r="B7" s="95" t="s">
        <v>42</v>
      </c>
      <c r="C7" s="96" t="str">
        <f>'Análise e Planejamento'!$B$25</f>
        <v/>
      </c>
      <c r="D7" s="97" t="str">
        <f>'Análise e Planejamento'!$D$25</f>
        <v/>
      </c>
      <c r="E7" s="98"/>
      <c r="F7" s="99"/>
      <c r="G7" s="100"/>
      <c r="H7" s="100"/>
      <c r="I7" s="100"/>
      <c r="J7" s="100"/>
      <c r="K7" s="100"/>
      <c r="L7" s="100"/>
    </row>
    <row r="8" ht="20.25" customHeight="1">
      <c r="A8" s="94">
        <v>44682.0</v>
      </c>
      <c r="B8" s="95" t="s">
        <v>42</v>
      </c>
      <c r="C8" s="96" t="str">
        <f>'Análise e Planejamento'!$B$25</f>
        <v/>
      </c>
      <c r="D8" s="97" t="str">
        <f>'Análise e Planejamento'!$D$25</f>
        <v/>
      </c>
      <c r="E8" s="98"/>
      <c r="F8" s="99"/>
      <c r="G8" s="100"/>
      <c r="H8" s="100"/>
      <c r="I8" s="100"/>
      <c r="J8" s="100"/>
      <c r="K8" s="100"/>
      <c r="L8" s="100"/>
    </row>
    <row r="9" ht="20.25" customHeight="1">
      <c r="A9" s="94">
        <v>44713.0</v>
      </c>
      <c r="B9" s="95" t="s">
        <v>42</v>
      </c>
      <c r="C9" s="96" t="str">
        <f>'Análise e Planejamento'!$B$25</f>
        <v/>
      </c>
      <c r="D9" s="97" t="str">
        <f>'Análise e Planejamento'!$D$25</f>
        <v/>
      </c>
      <c r="E9" s="98"/>
      <c r="F9" s="99"/>
      <c r="G9" s="100"/>
      <c r="H9" s="100"/>
      <c r="I9" s="100"/>
      <c r="J9" s="100"/>
      <c r="K9" s="100"/>
      <c r="L9" s="100"/>
    </row>
    <row r="10" ht="20.25" customHeight="1">
      <c r="A10" s="94">
        <v>44743.0</v>
      </c>
      <c r="B10" s="95" t="s">
        <v>42</v>
      </c>
      <c r="C10" s="96" t="str">
        <f>'Análise e Planejamento'!$B$25</f>
        <v/>
      </c>
      <c r="D10" s="97" t="str">
        <f>'Análise e Planejamento'!$D$25</f>
        <v/>
      </c>
      <c r="E10" s="98"/>
      <c r="F10" s="99"/>
      <c r="G10" s="100"/>
      <c r="H10" s="100"/>
      <c r="I10" s="100"/>
      <c r="J10" s="100"/>
      <c r="K10" s="100"/>
      <c r="L10" s="100"/>
    </row>
    <row r="11" ht="20.25" customHeight="1">
      <c r="A11" s="94">
        <v>44774.0</v>
      </c>
      <c r="B11" s="95" t="s">
        <v>42</v>
      </c>
      <c r="C11" s="96" t="str">
        <f>'Análise e Planejamento'!$B$25</f>
        <v/>
      </c>
      <c r="D11" s="97" t="str">
        <f>'Análise e Planejamento'!$D$25</f>
        <v/>
      </c>
      <c r="E11" s="98"/>
      <c r="F11" s="99"/>
      <c r="G11" s="100"/>
      <c r="H11" s="100"/>
      <c r="I11" s="100"/>
      <c r="J11" s="100"/>
      <c r="K11" s="100"/>
      <c r="L11" s="100"/>
    </row>
    <row r="12" ht="20.25" customHeight="1">
      <c r="A12" s="94">
        <v>44805.0</v>
      </c>
      <c r="B12" s="95" t="s">
        <v>42</v>
      </c>
      <c r="C12" s="96" t="str">
        <f>'Análise e Planejamento'!$B$25</f>
        <v/>
      </c>
      <c r="D12" s="97" t="str">
        <f>'Análise e Planejamento'!$D$25</f>
        <v/>
      </c>
      <c r="E12" s="98"/>
      <c r="F12" s="99"/>
      <c r="G12" s="100"/>
      <c r="H12" s="100"/>
      <c r="I12" s="100"/>
      <c r="J12" s="100"/>
      <c r="K12" s="100"/>
      <c r="L12" s="100"/>
    </row>
    <row r="13" ht="20.25" customHeight="1">
      <c r="A13" s="94">
        <v>44835.0</v>
      </c>
      <c r="B13" s="95" t="s">
        <v>42</v>
      </c>
      <c r="C13" s="96" t="str">
        <f>'Análise e Planejamento'!$B$25</f>
        <v/>
      </c>
      <c r="D13" s="97" t="str">
        <f>'Análise e Planejamento'!$D$25</f>
        <v/>
      </c>
      <c r="E13" s="98"/>
      <c r="F13" s="99"/>
      <c r="G13" s="100"/>
      <c r="H13" s="100"/>
      <c r="I13" s="100"/>
      <c r="J13" s="100"/>
      <c r="K13" s="100"/>
      <c r="L13" s="100"/>
    </row>
    <row r="14" ht="20.25" customHeight="1">
      <c r="A14" s="94">
        <v>44866.0</v>
      </c>
      <c r="B14" s="95" t="s">
        <v>42</v>
      </c>
      <c r="C14" s="96" t="str">
        <f>'Análise e Planejamento'!$B$25</f>
        <v/>
      </c>
      <c r="D14" s="97" t="str">
        <f>'Análise e Planejamento'!$D$25</f>
        <v/>
      </c>
      <c r="E14" s="98"/>
      <c r="F14" s="99"/>
      <c r="G14" s="100"/>
      <c r="H14" s="100"/>
      <c r="I14" s="100"/>
      <c r="J14" s="100"/>
      <c r="K14" s="100"/>
      <c r="L14" s="100"/>
    </row>
    <row r="15" ht="20.25" customHeight="1">
      <c r="A15" s="94">
        <v>44896.0</v>
      </c>
      <c r="B15" s="95" t="s">
        <v>42</v>
      </c>
      <c r="C15" s="96" t="str">
        <f>'Análise e Planejamento'!$B$25</f>
        <v/>
      </c>
      <c r="D15" s="97" t="str">
        <f>'Análise e Planejamento'!$D$25</f>
        <v/>
      </c>
      <c r="E15" s="98"/>
      <c r="F15" s="99"/>
      <c r="G15" s="100"/>
      <c r="H15" s="100"/>
      <c r="I15" s="100"/>
      <c r="J15" s="100"/>
      <c r="K15" s="100"/>
      <c r="L15" s="100"/>
    </row>
    <row r="16" ht="20.25" hidden="1" customHeight="1">
      <c r="A16" s="94" t="s">
        <v>36</v>
      </c>
      <c r="B16" s="95" t="s">
        <v>37</v>
      </c>
      <c r="C16" s="97" t="s">
        <v>38</v>
      </c>
      <c r="D16" s="97" t="s">
        <v>39</v>
      </c>
      <c r="E16" s="98" t="s">
        <v>40</v>
      </c>
      <c r="F16" s="99" t="s">
        <v>41</v>
      </c>
      <c r="G16" s="100"/>
      <c r="H16" s="100"/>
      <c r="I16" s="100"/>
      <c r="J16" s="100"/>
      <c r="K16" s="100"/>
      <c r="L16" s="100"/>
    </row>
    <row r="17" ht="20.25" customHeight="1">
      <c r="A17" s="94">
        <v>44562.0</v>
      </c>
      <c r="B17" s="95" t="s">
        <v>43</v>
      </c>
      <c r="C17" s="96" t="str">
        <f>'Análise e Planejamento'!$B$30</f>
        <v/>
      </c>
      <c r="D17" s="96" t="str">
        <f>'Análise e Planejamento'!$D$30</f>
        <v/>
      </c>
      <c r="E17" s="98"/>
      <c r="F17" s="99"/>
      <c r="G17" s="100"/>
      <c r="H17" s="100"/>
      <c r="I17" s="100"/>
      <c r="J17" s="100"/>
      <c r="K17" s="100"/>
      <c r="L17" s="100"/>
    </row>
    <row r="18" ht="20.25" customHeight="1">
      <c r="A18" s="94">
        <v>44593.0</v>
      </c>
      <c r="B18" s="95" t="s">
        <v>43</v>
      </c>
      <c r="C18" s="96" t="str">
        <f>'Análise e Planejamento'!$B$30</f>
        <v/>
      </c>
      <c r="D18" s="96" t="str">
        <f>'Análise e Planejamento'!$D$30</f>
        <v/>
      </c>
      <c r="E18" s="98"/>
      <c r="F18" s="99"/>
      <c r="G18" s="100"/>
      <c r="H18" s="100"/>
      <c r="I18" s="100"/>
      <c r="J18" s="100"/>
      <c r="K18" s="100"/>
      <c r="L18" s="100"/>
    </row>
    <row r="19" ht="20.25" customHeight="1">
      <c r="A19" s="94">
        <v>44621.0</v>
      </c>
      <c r="B19" s="95" t="s">
        <v>43</v>
      </c>
      <c r="C19" s="96" t="str">
        <f>'Análise e Planejamento'!$B$30</f>
        <v/>
      </c>
      <c r="D19" s="96" t="str">
        <f>'Análise e Planejamento'!$D$30</f>
        <v/>
      </c>
      <c r="E19" s="98"/>
      <c r="F19" s="99"/>
      <c r="G19" s="100"/>
      <c r="H19" s="100"/>
      <c r="I19" s="100"/>
      <c r="J19" s="100"/>
      <c r="K19" s="100"/>
      <c r="L19" s="100"/>
    </row>
    <row r="20" ht="20.25" customHeight="1">
      <c r="A20" s="94">
        <v>44652.0</v>
      </c>
      <c r="B20" s="95" t="s">
        <v>43</v>
      </c>
      <c r="C20" s="96" t="str">
        <f>'Análise e Planejamento'!$B$30</f>
        <v/>
      </c>
      <c r="D20" s="96" t="str">
        <f>'Análise e Planejamento'!$D$30</f>
        <v/>
      </c>
      <c r="E20" s="98"/>
      <c r="F20" s="99"/>
      <c r="G20" s="100"/>
      <c r="H20" s="100"/>
      <c r="I20" s="100"/>
      <c r="J20" s="100"/>
      <c r="K20" s="100"/>
      <c r="L20" s="100"/>
    </row>
    <row r="21" ht="20.25" customHeight="1">
      <c r="A21" s="94">
        <v>44682.0</v>
      </c>
      <c r="B21" s="95" t="s">
        <v>43</v>
      </c>
      <c r="C21" s="96" t="str">
        <f>'Análise e Planejamento'!$B$30</f>
        <v/>
      </c>
      <c r="D21" s="96" t="str">
        <f>'Análise e Planejamento'!$D$30</f>
        <v/>
      </c>
      <c r="E21" s="98"/>
      <c r="F21" s="99"/>
      <c r="G21" s="100"/>
      <c r="H21" s="100"/>
      <c r="I21" s="100"/>
      <c r="J21" s="100"/>
      <c r="K21" s="100"/>
      <c r="L21" s="100"/>
    </row>
    <row r="22" ht="20.25" customHeight="1">
      <c r="A22" s="94">
        <v>44713.0</v>
      </c>
      <c r="B22" s="95" t="s">
        <v>43</v>
      </c>
      <c r="C22" s="96" t="str">
        <f>'Análise e Planejamento'!$B$30</f>
        <v/>
      </c>
      <c r="D22" s="96" t="str">
        <f>'Análise e Planejamento'!$D$30</f>
        <v/>
      </c>
      <c r="E22" s="98"/>
      <c r="F22" s="99"/>
      <c r="G22" s="100"/>
      <c r="H22" s="100"/>
      <c r="I22" s="100"/>
      <c r="J22" s="100"/>
      <c r="K22" s="100"/>
      <c r="L22" s="100"/>
    </row>
    <row r="23" ht="20.25" customHeight="1">
      <c r="A23" s="94">
        <v>44743.0</v>
      </c>
      <c r="B23" s="95" t="s">
        <v>43</v>
      </c>
      <c r="C23" s="96" t="str">
        <f>'Análise e Planejamento'!$B$30</f>
        <v/>
      </c>
      <c r="D23" s="96" t="str">
        <f>'Análise e Planejamento'!$D$30</f>
        <v/>
      </c>
      <c r="E23" s="98"/>
      <c r="F23" s="99"/>
      <c r="G23" s="100"/>
      <c r="H23" s="100"/>
      <c r="I23" s="100"/>
      <c r="J23" s="100"/>
      <c r="K23" s="100"/>
      <c r="L23" s="100"/>
    </row>
    <row r="24" ht="20.25" customHeight="1">
      <c r="A24" s="94">
        <v>44774.0</v>
      </c>
      <c r="B24" s="95" t="s">
        <v>43</v>
      </c>
      <c r="C24" s="96" t="str">
        <f>'Análise e Planejamento'!$B$30</f>
        <v/>
      </c>
      <c r="D24" s="96" t="str">
        <f>'Análise e Planejamento'!$D$30</f>
        <v/>
      </c>
      <c r="E24" s="98"/>
      <c r="F24" s="99"/>
      <c r="G24" s="100"/>
      <c r="H24" s="100"/>
      <c r="I24" s="100"/>
      <c r="J24" s="100"/>
      <c r="K24" s="100"/>
      <c r="L24" s="100"/>
    </row>
    <row r="25" ht="20.25" customHeight="1">
      <c r="A25" s="94">
        <v>44805.0</v>
      </c>
      <c r="B25" s="95" t="s">
        <v>43</v>
      </c>
      <c r="C25" s="96" t="str">
        <f>'Análise e Planejamento'!$B$30</f>
        <v/>
      </c>
      <c r="D25" s="96" t="str">
        <f>'Análise e Planejamento'!$D$30</f>
        <v/>
      </c>
      <c r="E25" s="98"/>
      <c r="F25" s="99"/>
      <c r="G25" s="100"/>
      <c r="H25" s="100"/>
      <c r="I25" s="100"/>
      <c r="J25" s="100"/>
      <c r="K25" s="100"/>
      <c r="L25" s="100"/>
    </row>
    <row r="26" ht="20.25" customHeight="1">
      <c r="A26" s="94">
        <v>44835.0</v>
      </c>
      <c r="B26" s="95" t="s">
        <v>43</v>
      </c>
      <c r="C26" s="96" t="str">
        <f>'Análise e Planejamento'!$B$30</f>
        <v/>
      </c>
      <c r="D26" s="96" t="str">
        <f>'Análise e Planejamento'!$D$30</f>
        <v/>
      </c>
      <c r="E26" s="98"/>
      <c r="F26" s="99"/>
      <c r="G26" s="100"/>
      <c r="H26" s="100"/>
      <c r="I26" s="100"/>
      <c r="J26" s="100"/>
      <c r="K26" s="100"/>
      <c r="L26" s="100"/>
    </row>
    <row r="27" ht="20.25" customHeight="1">
      <c r="A27" s="94">
        <v>44866.0</v>
      </c>
      <c r="B27" s="95" t="s">
        <v>43</v>
      </c>
      <c r="C27" s="96" t="str">
        <f>'Análise e Planejamento'!$B$30</f>
        <v/>
      </c>
      <c r="D27" s="96" t="str">
        <f>'Análise e Planejamento'!$D$30</f>
        <v/>
      </c>
      <c r="E27" s="98"/>
      <c r="F27" s="99"/>
      <c r="G27" s="100"/>
      <c r="H27" s="100"/>
      <c r="I27" s="100"/>
      <c r="J27" s="100"/>
      <c r="K27" s="100"/>
      <c r="L27" s="100"/>
    </row>
    <row r="28" ht="20.25" customHeight="1">
      <c r="A28" s="94">
        <v>44896.0</v>
      </c>
      <c r="B28" s="95" t="s">
        <v>43</v>
      </c>
      <c r="C28" s="96" t="str">
        <f>'Análise e Planejamento'!$B$30</f>
        <v/>
      </c>
      <c r="D28" s="96" t="str">
        <f>'Análise e Planejamento'!$D$30</f>
        <v/>
      </c>
      <c r="E28" s="98"/>
      <c r="F28" s="99"/>
      <c r="G28" s="100"/>
      <c r="H28" s="100"/>
      <c r="I28" s="100"/>
      <c r="J28" s="100"/>
      <c r="K28" s="100"/>
      <c r="L28" s="100"/>
    </row>
    <row r="29" ht="20.25" hidden="1" customHeight="1">
      <c r="A29" s="94" t="s">
        <v>36</v>
      </c>
      <c r="B29" s="95" t="s">
        <v>37</v>
      </c>
      <c r="C29" s="97" t="s">
        <v>38</v>
      </c>
      <c r="D29" s="97" t="s">
        <v>39</v>
      </c>
      <c r="E29" s="98" t="s">
        <v>40</v>
      </c>
      <c r="F29" s="99" t="s">
        <v>41</v>
      </c>
      <c r="G29" s="100"/>
      <c r="H29" s="100"/>
      <c r="I29" s="100"/>
      <c r="J29" s="100"/>
      <c r="K29" s="100"/>
      <c r="L29" s="100"/>
    </row>
    <row r="30" ht="20.25" customHeight="1">
      <c r="A30" s="94">
        <v>44562.0</v>
      </c>
      <c r="B30" s="95" t="s">
        <v>43</v>
      </c>
      <c r="C30" s="96" t="str">
        <f>'Análise e Planejamento'!$B$31</f>
        <v/>
      </c>
      <c r="D30" s="96" t="str">
        <f>'Análise e Planejamento'!$D$31</f>
        <v/>
      </c>
      <c r="E30" s="98"/>
      <c r="F30" s="99"/>
      <c r="G30" s="100"/>
      <c r="H30" s="100"/>
      <c r="I30" s="100"/>
      <c r="J30" s="100"/>
      <c r="K30" s="100"/>
      <c r="L30" s="100"/>
    </row>
    <row r="31" ht="20.25" customHeight="1">
      <c r="A31" s="94">
        <v>44593.0</v>
      </c>
      <c r="B31" s="95" t="s">
        <v>43</v>
      </c>
      <c r="C31" s="96" t="str">
        <f>'Análise e Planejamento'!$B$31</f>
        <v/>
      </c>
      <c r="D31" s="96" t="str">
        <f>'Análise e Planejamento'!$D$31</f>
        <v/>
      </c>
      <c r="E31" s="98"/>
      <c r="F31" s="99"/>
      <c r="G31" s="100"/>
      <c r="H31" s="100"/>
      <c r="I31" s="100"/>
      <c r="J31" s="100"/>
      <c r="K31" s="100"/>
      <c r="L31" s="100"/>
    </row>
    <row r="32" ht="20.25" customHeight="1">
      <c r="A32" s="94">
        <v>44621.0</v>
      </c>
      <c r="B32" s="95" t="s">
        <v>43</v>
      </c>
      <c r="C32" s="96" t="str">
        <f>'Análise e Planejamento'!$B$31</f>
        <v/>
      </c>
      <c r="D32" s="96" t="str">
        <f>'Análise e Planejamento'!$D$31</f>
        <v/>
      </c>
      <c r="E32" s="98"/>
      <c r="F32" s="99"/>
      <c r="G32" s="100"/>
      <c r="H32" s="100"/>
      <c r="I32" s="100"/>
      <c r="J32" s="100"/>
      <c r="K32" s="100"/>
      <c r="L32" s="100"/>
    </row>
    <row r="33" ht="20.25" customHeight="1">
      <c r="A33" s="94">
        <v>44652.0</v>
      </c>
      <c r="B33" s="95" t="s">
        <v>43</v>
      </c>
      <c r="C33" s="96" t="str">
        <f>'Análise e Planejamento'!$B$31</f>
        <v/>
      </c>
      <c r="D33" s="96" t="str">
        <f>'Análise e Planejamento'!$D$31</f>
        <v/>
      </c>
      <c r="E33" s="98"/>
      <c r="F33" s="99"/>
      <c r="G33" s="100"/>
      <c r="H33" s="100"/>
      <c r="I33" s="100"/>
      <c r="J33" s="100"/>
      <c r="K33" s="100"/>
      <c r="L33" s="100"/>
    </row>
    <row r="34" ht="20.25" customHeight="1">
      <c r="A34" s="94">
        <v>44682.0</v>
      </c>
      <c r="B34" s="95" t="s">
        <v>43</v>
      </c>
      <c r="C34" s="96" t="str">
        <f>'Análise e Planejamento'!$B$31</f>
        <v/>
      </c>
      <c r="D34" s="96" t="str">
        <f>'Análise e Planejamento'!$D$31</f>
        <v/>
      </c>
      <c r="E34" s="98"/>
      <c r="F34" s="99"/>
      <c r="G34" s="100"/>
      <c r="H34" s="100"/>
      <c r="I34" s="100"/>
      <c r="J34" s="100"/>
      <c r="K34" s="100"/>
      <c r="L34" s="100"/>
    </row>
    <row r="35" ht="20.25" customHeight="1">
      <c r="A35" s="94">
        <v>44713.0</v>
      </c>
      <c r="B35" s="95" t="s">
        <v>43</v>
      </c>
      <c r="C35" s="96" t="str">
        <f>'Análise e Planejamento'!$B$31</f>
        <v/>
      </c>
      <c r="D35" s="96" t="str">
        <f>'Análise e Planejamento'!$D$31</f>
        <v/>
      </c>
      <c r="E35" s="98"/>
      <c r="F35" s="99"/>
      <c r="G35" s="100"/>
      <c r="H35" s="100"/>
      <c r="I35" s="100"/>
      <c r="J35" s="100"/>
      <c r="K35" s="100"/>
      <c r="L35" s="100"/>
    </row>
    <row r="36" ht="20.25" customHeight="1">
      <c r="A36" s="94">
        <v>44743.0</v>
      </c>
      <c r="B36" s="95" t="s">
        <v>43</v>
      </c>
      <c r="C36" s="96" t="str">
        <f>'Análise e Planejamento'!$B$31</f>
        <v/>
      </c>
      <c r="D36" s="96" t="str">
        <f>'Análise e Planejamento'!$D$31</f>
        <v/>
      </c>
      <c r="E36" s="98"/>
      <c r="F36" s="99"/>
      <c r="G36" s="100"/>
      <c r="H36" s="100"/>
      <c r="I36" s="100"/>
      <c r="J36" s="100"/>
      <c r="K36" s="100"/>
      <c r="L36" s="100"/>
    </row>
    <row r="37" ht="20.25" customHeight="1">
      <c r="A37" s="94">
        <v>44774.0</v>
      </c>
      <c r="B37" s="95" t="s">
        <v>43</v>
      </c>
      <c r="C37" s="96" t="str">
        <f>'Análise e Planejamento'!$B$31</f>
        <v/>
      </c>
      <c r="D37" s="96" t="str">
        <f>'Análise e Planejamento'!$D$31</f>
        <v/>
      </c>
      <c r="E37" s="98"/>
      <c r="F37" s="99"/>
      <c r="G37" s="100"/>
      <c r="H37" s="100"/>
      <c r="I37" s="100"/>
      <c r="J37" s="100"/>
      <c r="K37" s="100"/>
      <c r="L37" s="100"/>
    </row>
    <row r="38" ht="20.25" customHeight="1">
      <c r="A38" s="94">
        <v>44805.0</v>
      </c>
      <c r="B38" s="95" t="s">
        <v>43</v>
      </c>
      <c r="C38" s="96" t="str">
        <f>'Análise e Planejamento'!$B$31</f>
        <v/>
      </c>
      <c r="D38" s="96" t="str">
        <f>'Análise e Planejamento'!$D$31</f>
        <v/>
      </c>
      <c r="E38" s="98"/>
      <c r="F38" s="99"/>
      <c r="G38" s="100"/>
      <c r="H38" s="100"/>
      <c r="I38" s="100"/>
      <c r="J38" s="100"/>
      <c r="K38" s="100"/>
      <c r="L38" s="100"/>
    </row>
    <row r="39" ht="20.25" customHeight="1">
      <c r="A39" s="94">
        <v>44835.0</v>
      </c>
      <c r="B39" s="95" t="s">
        <v>43</v>
      </c>
      <c r="C39" s="96" t="str">
        <f>'Análise e Planejamento'!$B$31</f>
        <v/>
      </c>
      <c r="D39" s="96" t="str">
        <f>'Análise e Planejamento'!$D$31</f>
        <v/>
      </c>
      <c r="E39" s="98"/>
      <c r="F39" s="99"/>
      <c r="G39" s="100"/>
      <c r="H39" s="100"/>
      <c r="I39" s="100"/>
      <c r="J39" s="100"/>
      <c r="K39" s="100"/>
      <c r="L39" s="100"/>
    </row>
    <row r="40" ht="20.25" customHeight="1">
      <c r="A40" s="94">
        <v>44866.0</v>
      </c>
      <c r="B40" s="95" t="s">
        <v>43</v>
      </c>
      <c r="C40" s="96" t="str">
        <f>'Análise e Planejamento'!$B$31</f>
        <v/>
      </c>
      <c r="D40" s="96" t="str">
        <f>'Análise e Planejamento'!$D$31</f>
        <v/>
      </c>
      <c r="E40" s="98"/>
      <c r="F40" s="99"/>
      <c r="G40" s="100"/>
      <c r="H40" s="100"/>
      <c r="I40" s="100"/>
      <c r="J40" s="100"/>
      <c r="K40" s="100"/>
      <c r="L40" s="100"/>
    </row>
    <row r="41" ht="20.25" customHeight="1">
      <c r="A41" s="94">
        <v>44896.0</v>
      </c>
      <c r="B41" s="95" t="s">
        <v>43</v>
      </c>
      <c r="C41" s="96" t="str">
        <f>'Análise e Planejamento'!$B$31</f>
        <v/>
      </c>
      <c r="D41" s="96" t="str">
        <f>'Análise e Planejamento'!$D$31</f>
        <v/>
      </c>
      <c r="E41" s="98"/>
      <c r="F41" s="99"/>
      <c r="G41" s="100"/>
      <c r="H41" s="100"/>
      <c r="I41" s="100"/>
      <c r="J41" s="100"/>
      <c r="K41" s="100"/>
      <c r="L41" s="100"/>
    </row>
    <row r="42" ht="20.25" hidden="1" customHeight="1">
      <c r="A42" s="94" t="s">
        <v>36</v>
      </c>
      <c r="B42" s="95" t="s">
        <v>37</v>
      </c>
      <c r="C42" s="97" t="s">
        <v>38</v>
      </c>
      <c r="D42" s="97" t="s">
        <v>39</v>
      </c>
      <c r="E42" s="98" t="s">
        <v>40</v>
      </c>
      <c r="F42" s="99" t="s">
        <v>41</v>
      </c>
      <c r="G42" s="100"/>
      <c r="H42" s="100"/>
      <c r="I42" s="100"/>
      <c r="J42" s="100"/>
      <c r="K42" s="100"/>
      <c r="L42" s="100"/>
    </row>
    <row r="43" ht="20.25" customHeight="1">
      <c r="A43" s="94">
        <v>44562.0</v>
      </c>
      <c r="B43" s="95" t="s">
        <v>43</v>
      </c>
      <c r="C43" s="96" t="str">
        <f>'Análise e Planejamento'!$B$32</f>
        <v/>
      </c>
      <c r="D43" s="96" t="str">
        <f>'Análise e Planejamento'!$D$32</f>
        <v/>
      </c>
      <c r="E43" s="98"/>
      <c r="F43" s="99"/>
      <c r="G43" s="100"/>
      <c r="H43" s="100"/>
      <c r="I43" s="100"/>
      <c r="J43" s="100"/>
      <c r="K43" s="100"/>
      <c r="L43" s="100"/>
    </row>
    <row r="44" ht="20.25" customHeight="1">
      <c r="A44" s="94">
        <v>44593.0</v>
      </c>
      <c r="B44" s="95" t="s">
        <v>43</v>
      </c>
      <c r="C44" s="96" t="str">
        <f>'Análise e Planejamento'!$B$32</f>
        <v/>
      </c>
      <c r="D44" s="96" t="str">
        <f>'Análise e Planejamento'!$D$32</f>
        <v/>
      </c>
      <c r="E44" s="98"/>
      <c r="F44" s="99"/>
      <c r="G44" s="100"/>
      <c r="H44" s="100"/>
      <c r="I44" s="100"/>
      <c r="J44" s="100"/>
      <c r="K44" s="100"/>
      <c r="L44" s="100"/>
    </row>
    <row r="45" ht="20.25" customHeight="1">
      <c r="A45" s="94">
        <v>44621.0</v>
      </c>
      <c r="B45" s="95" t="s">
        <v>43</v>
      </c>
      <c r="C45" s="96" t="str">
        <f>'Análise e Planejamento'!$B$32</f>
        <v/>
      </c>
      <c r="D45" s="96" t="str">
        <f>'Análise e Planejamento'!$D$32</f>
        <v/>
      </c>
      <c r="E45" s="98"/>
      <c r="F45" s="99"/>
      <c r="G45" s="100"/>
      <c r="H45" s="100"/>
      <c r="I45" s="100"/>
      <c r="J45" s="100"/>
      <c r="K45" s="100"/>
      <c r="L45" s="100"/>
    </row>
    <row r="46" ht="20.25" customHeight="1">
      <c r="A46" s="94">
        <v>44652.0</v>
      </c>
      <c r="B46" s="95" t="s">
        <v>43</v>
      </c>
      <c r="C46" s="96" t="str">
        <f>'Análise e Planejamento'!$B$32</f>
        <v/>
      </c>
      <c r="D46" s="96" t="str">
        <f>'Análise e Planejamento'!$D$32</f>
        <v/>
      </c>
      <c r="E46" s="98"/>
      <c r="F46" s="99"/>
      <c r="G46" s="100"/>
      <c r="H46" s="100"/>
      <c r="I46" s="100"/>
      <c r="J46" s="100"/>
      <c r="K46" s="100"/>
      <c r="L46" s="100"/>
    </row>
    <row r="47" ht="20.25" customHeight="1">
      <c r="A47" s="94">
        <v>44682.0</v>
      </c>
      <c r="B47" s="95" t="s">
        <v>43</v>
      </c>
      <c r="C47" s="96" t="str">
        <f>'Análise e Planejamento'!$B$32</f>
        <v/>
      </c>
      <c r="D47" s="96" t="str">
        <f>'Análise e Planejamento'!$D$32</f>
        <v/>
      </c>
      <c r="E47" s="98"/>
      <c r="F47" s="99"/>
      <c r="G47" s="100"/>
      <c r="H47" s="100"/>
      <c r="I47" s="100"/>
      <c r="J47" s="100"/>
      <c r="K47" s="100"/>
      <c r="L47" s="100"/>
    </row>
    <row r="48" ht="20.25" customHeight="1">
      <c r="A48" s="94">
        <v>44713.0</v>
      </c>
      <c r="B48" s="95" t="s">
        <v>43</v>
      </c>
      <c r="C48" s="96" t="str">
        <f>'Análise e Planejamento'!$B$32</f>
        <v/>
      </c>
      <c r="D48" s="96" t="str">
        <f>'Análise e Planejamento'!$D$32</f>
        <v/>
      </c>
      <c r="E48" s="98"/>
      <c r="F48" s="99"/>
      <c r="G48" s="100"/>
      <c r="H48" s="100"/>
      <c r="I48" s="100"/>
      <c r="J48" s="100"/>
      <c r="K48" s="100"/>
      <c r="L48" s="100"/>
    </row>
    <row r="49" ht="20.25" customHeight="1">
      <c r="A49" s="94">
        <v>44743.0</v>
      </c>
      <c r="B49" s="95" t="s">
        <v>43</v>
      </c>
      <c r="C49" s="96" t="str">
        <f>'Análise e Planejamento'!$B$32</f>
        <v/>
      </c>
      <c r="D49" s="96" t="str">
        <f>'Análise e Planejamento'!$D$32</f>
        <v/>
      </c>
      <c r="E49" s="98"/>
      <c r="F49" s="99"/>
      <c r="G49" s="100"/>
      <c r="H49" s="100"/>
      <c r="I49" s="100"/>
      <c r="J49" s="100"/>
      <c r="K49" s="100"/>
      <c r="L49" s="100"/>
    </row>
    <row r="50" ht="20.25" customHeight="1">
      <c r="A50" s="94">
        <v>44774.0</v>
      </c>
      <c r="B50" s="95" t="s">
        <v>43</v>
      </c>
      <c r="C50" s="96" t="str">
        <f>'Análise e Planejamento'!$B$32</f>
        <v/>
      </c>
      <c r="D50" s="96" t="str">
        <f>'Análise e Planejamento'!$D$32</f>
        <v/>
      </c>
      <c r="E50" s="98"/>
      <c r="F50" s="99"/>
      <c r="G50" s="100"/>
      <c r="H50" s="100"/>
      <c r="I50" s="100"/>
      <c r="J50" s="100"/>
      <c r="K50" s="100"/>
      <c r="L50" s="100"/>
    </row>
    <row r="51" ht="20.25" customHeight="1">
      <c r="A51" s="94">
        <v>44805.0</v>
      </c>
      <c r="B51" s="95" t="s">
        <v>43</v>
      </c>
      <c r="C51" s="96" t="str">
        <f>'Análise e Planejamento'!$B$32</f>
        <v/>
      </c>
      <c r="D51" s="96" t="str">
        <f>'Análise e Planejamento'!$D$32</f>
        <v/>
      </c>
      <c r="E51" s="98"/>
      <c r="F51" s="99"/>
      <c r="G51" s="100"/>
      <c r="H51" s="100"/>
      <c r="I51" s="100"/>
      <c r="J51" s="100"/>
      <c r="K51" s="100"/>
      <c r="L51" s="100"/>
    </row>
    <row r="52" ht="20.25" customHeight="1">
      <c r="A52" s="94">
        <v>44835.0</v>
      </c>
      <c r="B52" s="95" t="s">
        <v>43</v>
      </c>
      <c r="C52" s="96" t="str">
        <f>'Análise e Planejamento'!$B$32</f>
        <v/>
      </c>
      <c r="D52" s="96" t="str">
        <f>'Análise e Planejamento'!$D$32</f>
        <v/>
      </c>
      <c r="E52" s="98"/>
      <c r="F52" s="99"/>
      <c r="G52" s="100"/>
      <c r="H52" s="100"/>
      <c r="I52" s="100"/>
      <c r="J52" s="100"/>
      <c r="K52" s="100"/>
      <c r="L52" s="100"/>
    </row>
    <row r="53" ht="20.25" customHeight="1">
      <c r="A53" s="94">
        <v>44866.0</v>
      </c>
      <c r="B53" s="95" t="s">
        <v>43</v>
      </c>
      <c r="C53" s="96" t="str">
        <f>'Análise e Planejamento'!$B$32</f>
        <v/>
      </c>
      <c r="D53" s="96" t="str">
        <f>'Análise e Planejamento'!$D$32</f>
        <v/>
      </c>
      <c r="E53" s="98"/>
      <c r="F53" s="99"/>
      <c r="G53" s="100"/>
      <c r="H53" s="100"/>
      <c r="I53" s="100"/>
      <c r="J53" s="100"/>
      <c r="K53" s="100"/>
      <c r="L53" s="100"/>
    </row>
    <row r="54" ht="20.25" customHeight="1">
      <c r="A54" s="94">
        <v>44896.0</v>
      </c>
      <c r="B54" s="95" t="s">
        <v>43</v>
      </c>
      <c r="C54" s="96" t="str">
        <f>'Análise e Planejamento'!$B$32</f>
        <v/>
      </c>
      <c r="D54" s="96" t="str">
        <f>'Análise e Planejamento'!$D$32</f>
        <v/>
      </c>
      <c r="E54" s="98"/>
      <c r="F54" s="99"/>
      <c r="G54" s="100"/>
      <c r="H54" s="100"/>
      <c r="I54" s="100"/>
      <c r="J54" s="100"/>
      <c r="K54" s="100"/>
      <c r="L54" s="100"/>
    </row>
    <row r="55" hidden="1">
      <c r="A55" s="94" t="s">
        <v>36</v>
      </c>
      <c r="B55" s="95" t="s">
        <v>37</v>
      </c>
      <c r="C55" s="97" t="s">
        <v>38</v>
      </c>
      <c r="D55" s="97" t="s">
        <v>39</v>
      </c>
      <c r="E55" s="98" t="s">
        <v>40</v>
      </c>
      <c r="F55" s="99" t="s">
        <v>41</v>
      </c>
      <c r="G55" s="101"/>
      <c r="H55" s="101"/>
      <c r="I55" s="101"/>
      <c r="J55" s="101"/>
      <c r="K55" s="101"/>
      <c r="L55" s="101"/>
    </row>
    <row r="56">
      <c r="A56" s="94">
        <v>44562.0</v>
      </c>
      <c r="B56" s="95" t="s">
        <v>43</v>
      </c>
      <c r="C56" s="96" t="str">
        <f>'Análise e Planejamento'!$B$33</f>
        <v/>
      </c>
      <c r="D56" s="96" t="str">
        <f>'Análise e Planejamento'!$D$33</f>
        <v/>
      </c>
      <c r="E56" s="98"/>
      <c r="F56" s="99"/>
      <c r="G56" s="101"/>
      <c r="H56" s="101"/>
      <c r="I56" s="101"/>
      <c r="J56" s="101"/>
      <c r="K56" s="101"/>
      <c r="L56" s="101"/>
    </row>
    <row r="57">
      <c r="A57" s="94">
        <v>44593.0</v>
      </c>
      <c r="B57" s="95" t="s">
        <v>43</v>
      </c>
      <c r="C57" s="96" t="str">
        <f>'Análise e Planejamento'!$B$33</f>
        <v/>
      </c>
      <c r="D57" s="96" t="str">
        <f>'Análise e Planejamento'!$D$33</f>
        <v/>
      </c>
      <c r="E57" s="98"/>
      <c r="F57" s="99"/>
      <c r="G57" s="101"/>
      <c r="H57" s="101"/>
      <c r="I57" s="101"/>
      <c r="J57" s="101"/>
      <c r="K57" s="101"/>
      <c r="L57" s="101"/>
    </row>
    <row r="58">
      <c r="A58" s="94">
        <v>44621.0</v>
      </c>
      <c r="B58" s="95" t="s">
        <v>43</v>
      </c>
      <c r="C58" s="96" t="str">
        <f>'Análise e Planejamento'!$B$33</f>
        <v/>
      </c>
      <c r="D58" s="96" t="str">
        <f>'Análise e Planejamento'!$D$33</f>
        <v/>
      </c>
      <c r="E58" s="98"/>
      <c r="F58" s="99"/>
      <c r="G58" s="101"/>
      <c r="H58" s="101"/>
      <c r="I58" s="101"/>
      <c r="J58" s="101"/>
      <c r="K58" s="101"/>
      <c r="L58" s="101"/>
    </row>
    <row r="59">
      <c r="A59" s="94">
        <v>44652.0</v>
      </c>
      <c r="B59" s="95" t="s">
        <v>43</v>
      </c>
      <c r="C59" s="96" t="str">
        <f>'Análise e Planejamento'!$B$33</f>
        <v/>
      </c>
      <c r="D59" s="96" t="str">
        <f>'Análise e Planejamento'!$D$33</f>
        <v/>
      </c>
      <c r="E59" s="98"/>
      <c r="F59" s="99"/>
      <c r="G59" s="101"/>
      <c r="H59" s="101"/>
      <c r="I59" s="101"/>
      <c r="J59" s="101"/>
      <c r="K59" s="101"/>
      <c r="L59" s="101"/>
    </row>
    <row r="60">
      <c r="A60" s="94">
        <v>44682.0</v>
      </c>
      <c r="B60" s="95" t="s">
        <v>43</v>
      </c>
      <c r="C60" s="96" t="str">
        <f>'Análise e Planejamento'!$B$33</f>
        <v/>
      </c>
      <c r="D60" s="96" t="str">
        <f>'Análise e Planejamento'!$D$33</f>
        <v/>
      </c>
      <c r="E60" s="98"/>
      <c r="F60" s="99"/>
      <c r="G60" s="101"/>
      <c r="H60" s="101"/>
      <c r="I60" s="101"/>
      <c r="J60" s="101"/>
      <c r="K60" s="101"/>
      <c r="L60" s="101"/>
    </row>
    <row r="61">
      <c r="A61" s="94">
        <v>44713.0</v>
      </c>
      <c r="B61" s="95" t="s">
        <v>43</v>
      </c>
      <c r="C61" s="96" t="str">
        <f>'Análise e Planejamento'!$B$33</f>
        <v/>
      </c>
      <c r="D61" s="96" t="str">
        <f>'Análise e Planejamento'!$D$33</f>
        <v/>
      </c>
      <c r="E61" s="98"/>
      <c r="F61" s="99"/>
      <c r="G61" s="101"/>
      <c r="H61" s="101"/>
      <c r="I61" s="101"/>
      <c r="J61" s="101"/>
      <c r="K61" s="101"/>
      <c r="L61" s="101"/>
    </row>
    <row r="62">
      <c r="A62" s="94">
        <v>44743.0</v>
      </c>
      <c r="B62" s="95" t="s">
        <v>43</v>
      </c>
      <c r="C62" s="96" t="str">
        <f>'Análise e Planejamento'!$B$33</f>
        <v/>
      </c>
      <c r="D62" s="96" t="str">
        <f>'Análise e Planejamento'!$D$33</f>
        <v/>
      </c>
      <c r="E62" s="98"/>
      <c r="F62" s="99"/>
      <c r="G62" s="101"/>
      <c r="H62" s="101"/>
      <c r="I62" s="101"/>
      <c r="J62" s="101"/>
      <c r="K62" s="101"/>
      <c r="L62" s="101"/>
    </row>
    <row r="63">
      <c r="A63" s="94">
        <v>44774.0</v>
      </c>
      <c r="B63" s="95" t="s">
        <v>43</v>
      </c>
      <c r="C63" s="96" t="str">
        <f>'Análise e Planejamento'!$B$33</f>
        <v/>
      </c>
      <c r="D63" s="96" t="str">
        <f>'Análise e Planejamento'!$D$33</f>
        <v/>
      </c>
      <c r="E63" s="98"/>
      <c r="F63" s="99"/>
      <c r="G63" s="101"/>
      <c r="H63" s="101"/>
      <c r="I63" s="101"/>
      <c r="J63" s="101"/>
      <c r="K63" s="101"/>
      <c r="L63" s="101"/>
    </row>
    <row r="64">
      <c r="A64" s="94">
        <v>44805.0</v>
      </c>
      <c r="B64" s="95" t="s">
        <v>43</v>
      </c>
      <c r="C64" s="96" t="str">
        <f>'Análise e Planejamento'!$B$33</f>
        <v/>
      </c>
      <c r="D64" s="96" t="str">
        <f>'Análise e Planejamento'!$D$33</f>
        <v/>
      </c>
      <c r="E64" s="98"/>
      <c r="F64" s="99"/>
      <c r="G64" s="101"/>
      <c r="H64" s="101"/>
      <c r="I64" s="101"/>
      <c r="J64" s="101"/>
      <c r="K64" s="101"/>
      <c r="L64" s="101"/>
    </row>
    <row r="65">
      <c r="A65" s="94">
        <v>44835.0</v>
      </c>
      <c r="B65" s="95" t="s">
        <v>43</v>
      </c>
      <c r="C65" s="96" t="str">
        <f>'Análise e Planejamento'!$B$33</f>
        <v/>
      </c>
      <c r="D65" s="96" t="str">
        <f>'Análise e Planejamento'!$D$33</f>
        <v/>
      </c>
      <c r="E65" s="98"/>
      <c r="F65" s="99"/>
      <c r="G65" s="101"/>
      <c r="H65" s="101"/>
      <c r="I65" s="101"/>
      <c r="J65" s="101"/>
      <c r="K65" s="101"/>
      <c r="L65" s="101"/>
    </row>
    <row r="66">
      <c r="A66" s="94">
        <v>44866.0</v>
      </c>
      <c r="B66" s="95" t="s">
        <v>43</v>
      </c>
      <c r="C66" s="96" t="str">
        <f>'Análise e Planejamento'!$B$33</f>
        <v/>
      </c>
      <c r="D66" s="96" t="str">
        <f>'Análise e Planejamento'!$D$33</f>
        <v/>
      </c>
      <c r="E66" s="98"/>
      <c r="F66" s="99"/>
      <c r="G66" s="101"/>
      <c r="H66" s="101"/>
      <c r="I66" s="101"/>
      <c r="J66" s="101"/>
      <c r="K66" s="101"/>
      <c r="L66" s="101"/>
    </row>
    <row r="67">
      <c r="A67" s="102">
        <v>44896.0</v>
      </c>
      <c r="B67" s="103" t="s">
        <v>43</v>
      </c>
      <c r="C67" s="104" t="str">
        <f>'Análise e Planejamento'!$B$33</f>
        <v/>
      </c>
      <c r="D67" s="104" t="str">
        <f>'Análise e Planejamento'!$D$33</f>
        <v/>
      </c>
      <c r="E67" s="105"/>
      <c r="F67" s="106"/>
      <c r="G67" s="101"/>
      <c r="H67" s="101"/>
      <c r="I67" s="101"/>
      <c r="J67" s="101"/>
      <c r="K67" s="101"/>
      <c r="L67" s="101"/>
    </row>
    <row r="68">
      <c r="A68" s="107"/>
      <c r="B68" s="107"/>
      <c r="C68" s="107"/>
      <c r="D68" s="107"/>
      <c r="E68" s="107"/>
      <c r="F68" s="107"/>
      <c r="G68" s="101"/>
      <c r="H68" s="101"/>
      <c r="I68" s="101"/>
      <c r="J68" s="101"/>
      <c r="K68" s="101"/>
      <c r="L68" s="101"/>
    </row>
    <row r="69">
      <c r="A69" s="107"/>
      <c r="B69" s="107"/>
      <c r="C69" s="107"/>
      <c r="D69" s="107"/>
      <c r="E69" s="107"/>
      <c r="F69" s="107"/>
      <c r="G69" s="101"/>
      <c r="H69" s="101"/>
      <c r="I69" s="101"/>
      <c r="J69" s="101"/>
      <c r="K69" s="101"/>
      <c r="L69" s="101"/>
    </row>
    <row r="70">
      <c r="A70" s="107"/>
      <c r="B70" s="107"/>
      <c r="C70" s="107"/>
      <c r="D70" s="107"/>
      <c r="E70" s="107"/>
      <c r="F70" s="107"/>
      <c r="G70" s="101"/>
      <c r="H70" s="101"/>
      <c r="I70" s="101"/>
      <c r="J70" s="101"/>
      <c r="K70" s="101"/>
      <c r="L70" s="101"/>
    </row>
    <row r="71">
      <c r="A71" s="107"/>
      <c r="B71" s="107"/>
      <c r="C71" s="107"/>
      <c r="D71" s="107"/>
      <c r="E71" s="107"/>
      <c r="F71" s="107"/>
      <c r="G71" s="101"/>
      <c r="H71" s="101"/>
      <c r="I71" s="101"/>
      <c r="J71" s="101"/>
      <c r="K71" s="101"/>
      <c r="L71" s="101"/>
    </row>
    <row r="72">
      <c r="A72" s="107"/>
      <c r="B72" s="107"/>
      <c r="C72" s="107"/>
      <c r="D72" s="107"/>
      <c r="E72" s="107"/>
      <c r="F72" s="107"/>
      <c r="G72" s="101"/>
      <c r="H72" s="101"/>
      <c r="I72" s="101"/>
      <c r="J72" s="101"/>
      <c r="K72" s="101"/>
      <c r="L72" s="101"/>
    </row>
    <row r="73">
      <c r="A73" s="107"/>
      <c r="B73" s="107"/>
      <c r="C73" s="107"/>
      <c r="D73" s="107"/>
      <c r="E73" s="107"/>
      <c r="F73" s="107"/>
      <c r="G73" s="101"/>
      <c r="H73" s="101"/>
      <c r="I73" s="101"/>
      <c r="J73" s="101"/>
      <c r="K73" s="101"/>
      <c r="L73" s="101"/>
    </row>
    <row r="74">
      <c r="A74" s="107"/>
      <c r="B74" s="107"/>
      <c r="C74" s="107"/>
      <c r="D74" s="107"/>
      <c r="E74" s="107"/>
      <c r="F74" s="107"/>
      <c r="G74" s="101"/>
      <c r="H74" s="101"/>
      <c r="I74" s="101"/>
      <c r="J74" s="101"/>
      <c r="K74" s="101"/>
      <c r="L74" s="101"/>
    </row>
    <row r="75">
      <c r="A75" s="107"/>
      <c r="B75" s="107"/>
      <c r="C75" s="107"/>
      <c r="D75" s="107"/>
      <c r="E75" s="107"/>
      <c r="F75" s="107"/>
      <c r="G75" s="101"/>
      <c r="H75" s="101"/>
      <c r="I75" s="101"/>
      <c r="J75" s="101"/>
      <c r="K75" s="101"/>
      <c r="L75" s="101"/>
    </row>
    <row r="76">
      <c r="A76" s="107"/>
      <c r="B76" s="107"/>
      <c r="C76" s="107"/>
      <c r="D76" s="107"/>
      <c r="E76" s="107"/>
      <c r="F76" s="107"/>
      <c r="G76" s="101"/>
      <c r="H76" s="101"/>
      <c r="I76" s="101"/>
      <c r="J76" s="101"/>
      <c r="K76" s="101"/>
      <c r="L76" s="101"/>
    </row>
    <row r="77">
      <c r="A77" s="107"/>
      <c r="B77" s="107"/>
      <c r="C77" s="107"/>
      <c r="D77" s="107"/>
      <c r="E77" s="107"/>
      <c r="F77" s="107"/>
      <c r="G77" s="101"/>
      <c r="H77" s="101"/>
      <c r="I77" s="101"/>
      <c r="J77" s="101"/>
      <c r="K77" s="101"/>
      <c r="L77" s="101"/>
    </row>
    <row r="78">
      <c r="A78" s="107"/>
      <c r="B78" s="107"/>
      <c r="C78" s="107"/>
      <c r="D78" s="107"/>
      <c r="E78" s="107"/>
      <c r="F78" s="107"/>
      <c r="G78" s="101"/>
      <c r="H78" s="101"/>
      <c r="I78" s="101"/>
      <c r="J78" s="101"/>
      <c r="K78" s="101"/>
      <c r="L78" s="101"/>
    </row>
    <row r="79">
      <c r="A79" s="107"/>
      <c r="B79" s="107"/>
      <c r="C79" s="107"/>
      <c r="D79" s="107"/>
      <c r="E79" s="107"/>
      <c r="F79" s="107"/>
      <c r="G79" s="101"/>
      <c r="H79" s="101"/>
      <c r="I79" s="101"/>
      <c r="J79" s="101"/>
      <c r="K79" s="101"/>
      <c r="L79" s="101"/>
    </row>
    <row r="80">
      <c r="A80" s="107"/>
      <c r="B80" s="107"/>
      <c r="C80" s="107"/>
      <c r="D80" s="107"/>
      <c r="E80" s="107"/>
      <c r="F80" s="107"/>
      <c r="G80" s="101"/>
      <c r="H80" s="101"/>
      <c r="I80" s="101"/>
      <c r="J80" s="101"/>
      <c r="K80" s="101"/>
      <c r="L80" s="101"/>
    </row>
    <row r="81">
      <c r="A81" s="107"/>
      <c r="B81" s="107"/>
      <c r="C81" s="107"/>
      <c r="D81" s="107"/>
      <c r="E81" s="107"/>
      <c r="F81" s="107"/>
      <c r="G81" s="101"/>
      <c r="H81" s="101"/>
      <c r="I81" s="101"/>
      <c r="J81" s="101"/>
      <c r="K81" s="101"/>
      <c r="L81" s="101"/>
    </row>
    <row r="82">
      <c r="A82" s="107"/>
      <c r="B82" s="107"/>
      <c r="C82" s="107"/>
      <c r="D82" s="107"/>
      <c r="E82" s="107"/>
      <c r="F82" s="107"/>
      <c r="G82" s="101"/>
      <c r="H82" s="101"/>
      <c r="I82" s="101"/>
      <c r="J82" s="101"/>
      <c r="K82" s="101"/>
      <c r="L82" s="101"/>
    </row>
    <row r="83">
      <c r="A83" s="107"/>
      <c r="B83" s="107"/>
      <c r="C83" s="107"/>
      <c r="D83" s="107"/>
      <c r="E83" s="107"/>
      <c r="F83" s="107"/>
      <c r="G83" s="101"/>
      <c r="H83" s="101"/>
      <c r="I83" s="101"/>
      <c r="J83" s="101"/>
      <c r="K83" s="101"/>
      <c r="L83" s="101"/>
    </row>
    <row r="84">
      <c r="A84" s="107"/>
      <c r="B84" s="107"/>
      <c r="C84" s="107"/>
      <c r="D84" s="107"/>
      <c r="E84" s="107"/>
      <c r="F84" s="107"/>
      <c r="G84" s="101"/>
      <c r="H84" s="101"/>
      <c r="I84" s="101"/>
      <c r="J84" s="101"/>
      <c r="K84" s="101"/>
      <c r="L84" s="101"/>
    </row>
    <row r="85">
      <c r="A85" s="107"/>
      <c r="B85" s="107"/>
      <c r="C85" s="107"/>
      <c r="D85" s="107"/>
      <c r="E85" s="107"/>
      <c r="F85" s="107"/>
      <c r="G85" s="101"/>
      <c r="H85" s="101"/>
      <c r="I85" s="101"/>
      <c r="J85" s="101"/>
      <c r="K85" s="101"/>
      <c r="L85" s="101"/>
    </row>
    <row r="86">
      <c r="A86" s="107"/>
      <c r="B86" s="107"/>
      <c r="C86" s="107"/>
      <c r="D86" s="107"/>
      <c r="E86" s="107"/>
      <c r="F86" s="107"/>
      <c r="G86" s="101"/>
      <c r="H86" s="101"/>
      <c r="I86" s="101"/>
      <c r="J86" s="101"/>
      <c r="K86" s="101"/>
      <c r="L86" s="101"/>
    </row>
    <row r="87">
      <c r="A87" s="107"/>
      <c r="B87" s="107"/>
      <c r="C87" s="107"/>
      <c r="D87" s="107"/>
      <c r="E87" s="107"/>
      <c r="F87" s="107"/>
      <c r="G87" s="101"/>
      <c r="H87" s="101"/>
      <c r="I87" s="101"/>
      <c r="J87" s="101"/>
      <c r="K87" s="101"/>
      <c r="L87" s="101"/>
    </row>
    <row r="88">
      <c r="A88" s="107"/>
      <c r="B88" s="107"/>
      <c r="C88" s="107"/>
      <c r="D88" s="107"/>
      <c r="E88" s="107"/>
      <c r="F88" s="107"/>
      <c r="G88" s="101"/>
      <c r="H88" s="101"/>
      <c r="I88" s="101"/>
      <c r="J88" s="101"/>
      <c r="K88" s="101"/>
      <c r="L88" s="101"/>
    </row>
    <row r="89">
      <c r="A89" s="107"/>
      <c r="B89" s="107"/>
      <c r="C89" s="107"/>
      <c r="D89" s="107"/>
      <c r="E89" s="107"/>
      <c r="F89" s="107"/>
      <c r="G89" s="101"/>
      <c r="H89" s="101"/>
      <c r="I89" s="101"/>
      <c r="J89" s="101"/>
      <c r="K89" s="101"/>
      <c r="L89" s="101"/>
    </row>
    <row r="90">
      <c r="A90" s="107"/>
      <c r="B90" s="107"/>
      <c r="C90" s="107"/>
      <c r="D90" s="107"/>
      <c r="E90" s="107"/>
      <c r="F90" s="107"/>
      <c r="G90" s="101"/>
      <c r="H90" s="101"/>
      <c r="I90" s="101"/>
      <c r="J90" s="101"/>
      <c r="K90" s="101"/>
      <c r="L90" s="101"/>
    </row>
    <row r="91">
      <c r="A91" s="107"/>
      <c r="B91" s="107"/>
      <c r="C91" s="107"/>
      <c r="D91" s="107"/>
      <c r="E91" s="107"/>
      <c r="F91" s="107"/>
      <c r="G91" s="101"/>
      <c r="H91" s="101"/>
      <c r="I91" s="101"/>
      <c r="J91" s="101"/>
      <c r="K91" s="101"/>
      <c r="L91" s="101"/>
    </row>
    <row r="92">
      <c r="A92" s="107"/>
      <c r="B92" s="107"/>
      <c r="C92" s="107"/>
      <c r="D92" s="107"/>
      <c r="E92" s="107"/>
      <c r="F92" s="107"/>
      <c r="G92" s="101"/>
      <c r="H92" s="101"/>
      <c r="I92" s="101"/>
      <c r="J92" s="101"/>
      <c r="K92" s="101"/>
      <c r="L92" s="101"/>
    </row>
    <row r="93">
      <c r="A93" s="107"/>
      <c r="B93" s="107"/>
      <c r="C93" s="107"/>
      <c r="D93" s="107"/>
      <c r="E93" s="107"/>
      <c r="F93" s="107"/>
      <c r="G93" s="101"/>
      <c r="H93" s="101"/>
      <c r="I93" s="101"/>
      <c r="J93" s="101"/>
      <c r="K93" s="101"/>
      <c r="L93" s="101"/>
    </row>
    <row r="94">
      <c r="A94" s="107"/>
      <c r="B94" s="107"/>
      <c r="C94" s="107"/>
      <c r="D94" s="107"/>
      <c r="E94" s="107"/>
      <c r="F94" s="107"/>
      <c r="G94" s="101"/>
      <c r="H94" s="101"/>
      <c r="I94" s="101"/>
      <c r="J94" s="101"/>
      <c r="K94" s="101"/>
      <c r="L94" s="101"/>
    </row>
    <row r="95">
      <c r="A95" s="107"/>
      <c r="B95" s="107"/>
      <c r="C95" s="107"/>
      <c r="D95" s="107"/>
      <c r="E95" s="107"/>
      <c r="F95" s="107"/>
      <c r="G95" s="101"/>
      <c r="H95" s="101"/>
      <c r="I95" s="101"/>
      <c r="J95" s="101"/>
      <c r="K95" s="101"/>
      <c r="L95" s="101"/>
    </row>
    <row r="96">
      <c r="A96" s="107"/>
      <c r="B96" s="107"/>
      <c r="C96" s="107"/>
      <c r="D96" s="107"/>
      <c r="E96" s="107"/>
      <c r="F96" s="107"/>
      <c r="G96" s="101"/>
      <c r="H96" s="101"/>
      <c r="I96" s="101"/>
      <c r="J96" s="101"/>
      <c r="K96" s="101"/>
      <c r="L96" s="101"/>
    </row>
    <row r="97">
      <c r="A97" s="107"/>
      <c r="B97" s="107"/>
      <c r="C97" s="107"/>
      <c r="D97" s="107"/>
      <c r="E97" s="107"/>
      <c r="F97" s="107"/>
      <c r="G97" s="101"/>
      <c r="H97" s="101"/>
      <c r="I97" s="101"/>
      <c r="J97" s="101"/>
      <c r="K97" s="101"/>
      <c r="L97" s="101"/>
    </row>
    <row r="98">
      <c r="A98" s="107"/>
      <c r="B98" s="107"/>
      <c r="C98" s="107"/>
      <c r="D98" s="107"/>
      <c r="E98" s="107"/>
      <c r="F98" s="107"/>
      <c r="G98" s="101"/>
      <c r="H98" s="101"/>
      <c r="I98" s="101"/>
      <c r="J98" s="101"/>
      <c r="K98" s="101"/>
      <c r="L98" s="101"/>
    </row>
    <row r="99">
      <c r="A99" s="107"/>
      <c r="B99" s="107"/>
      <c r="C99" s="107"/>
      <c r="D99" s="107"/>
      <c r="E99" s="107"/>
      <c r="F99" s="107"/>
      <c r="G99" s="101"/>
      <c r="H99" s="101"/>
      <c r="I99" s="101"/>
      <c r="J99" s="101"/>
      <c r="K99" s="101"/>
      <c r="L99" s="101"/>
    </row>
    <row r="100">
      <c r="A100" s="107"/>
      <c r="B100" s="107"/>
      <c r="C100" s="107"/>
      <c r="D100" s="107"/>
      <c r="E100" s="107"/>
      <c r="F100" s="107"/>
      <c r="G100" s="101"/>
      <c r="H100" s="101"/>
      <c r="I100" s="101"/>
      <c r="J100" s="101"/>
      <c r="K100" s="101"/>
      <c r="L100" s="101"/>
    </row>
    <row r="101">
      <c r="A101" s="107"/>
      <c r="B101" s="107"/>
      <c r="C101" s="107"/>
      <c r="D101" s="107"/>
      <c r="E101" s="107"/>
      <c r="F101" s="107"/>
      <c r="G101" s="101"/>
      <c r="H101" s="101"/>
      <c r="I101" s="101"/>
      <c r="J101" s="101"/>
      <c r="K101" s="101"/>
      <c r="L101" s="101"/>
    </row>
    <row r="102">
      <c r="A102" s="107"/>
      <c r="B102" s="107"/>
      <c r="C102" s="107"/>
      <c r="D102" s="107"/>
      <c r="E102" s="107"/>
      <c r="F102" s="107"/>
      <c r="G102" s="101"/>
      <c r="H102" s="101"/>
      <c r="I102" s="101"/>
      <c r="J102" s="101"/>
      <c r="K102" s="101"/>
      <c r="L102" s="101"/>
    </row>
    <row r="103">
      <c r="A103" s="107"/>
      <c r="B103" s="107"/>
      <c r="C103" s="107"/>
      <c r="D103" s="107"/>
      <c r="E103" s="107"/>
      <c r="F103" s="107"/>
      <c r="G103" s="101"/>
      <c r="H103" s="101"/>
      <c r="I103" s="101"/>
      <c r="J103" s="101"/>
      <c r="K103" s="101"/>
      <c r="L103" s="101"/>
    </row>
    <row r="104">
      <c r="A104" s="107"/>
      <c r="B104" s="107"/>
      <c r="C104" s="107"/>
      <c r="D104" s="107"/>
      <c r="E104" s="107"/>
      <c r="F104" s="107"/>
      <c r="G104" s="101"/>
      <c r="H104" s="101"/>
      <c r="I104" s="101"/>
      <c r="J104" s="101"/>
      <c r="K104" s="101"/>
      <c r="L104" s="101"/>
    </row>
    <row r="105">
      <c r="A105" s="107"/>
      <c r="B105" s="107"/>
      <c r="C105" s="107"/>
      <c r="D105" s="107"/>
      <c r="E105" s="107"/>
      <c r="F105" s="107"/>
      <c r="G105" s="101"/>
      <c r="H105" s="101"/>
      <c r="I105" s="101"/>
      <c r="J105" s="101"/>
      <c r="K105" s="101"/>
      <c r="L105" s="101"/>
    </row>
    <row r="106">
      <c r="A106" s="107"/>
      <c r="B106" s="107"/>
      <c r="C106" s="107"/>
      <c r="D106" s="107"/>
      <c r="E106" s="107"/>
      <c r="F106" s="107"/>
      <c r="G106" s="101"/>
      <c r="H106" s="101"/>
      <c r="I106" s="101"/>
      <c r="J106" s="101"/>
      <c r="K106" s="101"/>
      <c r="L106" s="101"/>
    </row>
    <row r="107">
      <c r="A107" s="107"/>
      <c r="B107" s="107"/>
      <c r="C107" s="107"/>
      <c r="D107" s="107"/>
      <c r="E107" s="107"/>
      <c r="F107" s="107"/>
      <c r="G107" s="101"/>
      <c r="H107" s="101"/>
      <c r="I107" s="101"/>
      <c r="J107" s="101"/>
      <c r="K107" s="101"/>
      <c r="L107" s="101"/>
    </row>
    <row r="108">
      <c r="A108" s="107"/>
      <c r="B108" s="107"/>
      <c r="C108" s="107"/>
      <c r="D108" s="107"/>
      <c r="E108" s="107"/>
      <c r="F108" s="107"/>
      <c r="G108" s="101"/>
      <c r="H108" s="101"/>
      <c r="I108" s="101"/>
      <c r="J108" s="101"/>
      <c r="K108" s="101"/>
      <c r="L108" s="101"/>
    </row>
    <row r="109">
      <c r="A109" s="107"/>
      <c r="B109" s="107"/>
      <c r="C109" s="107"/>
      <c r="D109" s="107"/>
      <c r="E109" s="107"/>
      <c r="F109" s="107"/>
      <c r="G109" s="101"/>
      <c r="H109" s="101"/>
      <c r="I109" s="101"/>
      <c r="J109" s="101"/>
      <c r="K109" s="101"/>
      <c r="L109" s="101"/>
    </row>
    <row r="110">
      <c r="A110" s="107"/>
      <c r="B110" s="107"/>
      <c r="C110" s="107"/>
      <c r="D110" s="107"/>
      <c r="E110" s="107"/>
      <c r="F110" s="107"/>
      <c r="G110" s="101"/>
      <c r="H110" s="101"/>
      <c r="I110" s="101"/>
      <c r="J110" s="101"/>
      <c r="K110" s="101"/>
      <c r="L110" s="101"/>
    </row>
    <row r="111">
      <c r="A111" s="107"/>
      <c r="B111" s="107"/>
      <c r="C111" s="107"/>
      <c r="D111" s="107"/>
      <c r="E111" s="107"/>
      <c r="F111" s="107"/>
      <c r="G111" s="101"/>
      <c r="H111" s="101"/>
      <c r="I111" s="101"/>
      <c r="J111" s="101"/>
      <c r="K111" s="101"/>
      <c r="L111" s="101"/>
    </row>
    <row r="112">
      <c r="A112" s="107"/>
      <c r="B112" s="107"/>
      <c r="C112" s="107"/>
      <c r="D112" s="107"/>
      <c r="E112" s="107"/>
      <c r="F112" s="107"/>
      <c r="G112" s="101"/>
      <c r="H112" s="101"/>
      <c r="I112" s="101"/>
      <c r="J112" s="101"/>
      <c r="K112" s="101"/>
      <c r="L112" s="101"/>
    </row>
    <row r="113">
      <c r="A113" s="107"/>
      <c r="B113" s="107"/>
      <c r="C113" s="107"/>
      <c r="D113" s="107"/>
      <c r="E113" s="107"/>
      <c r="F113" s="107"/>
      <c r="G113" s="101"/>
      <c r="H113" s="101"/>
      <c r="I113" s="101"/>
      <c r="J113" s="101"/>
      <c r="K113" s="101"/>
      <c r="L113" s="101"/>
    </row>
    <row r="114">
      <c r="A114" s="107"/>
      <c r="B114" s="107"/>
      <c r="C114" s="107"/>
      <c r="D114" s="107"/>
      <c r="E114" s="107"/>
      <c r="F114" s="107"/>
      <c r="G114" s="101"/>
      <c r="H114" s="101"/>
      <c r="I114" s="101"/>
      <c r="J114" s="101"/>
      <c r="K114" s="101"/>
      <c r="L114" s="101"/>
    </row>
    <row r="115">
      <c r="A115" s="107"/>
      <c r="B115" s="107"/>
      <c r="C115" s="107"/>
      <c r="D115" s="107"/>
      <c r="E115" s="107"/>
      <c r="F115" s="107"/>
      <c r="G115" s="101"/>
      <c r="H115" s="101"/>
      <c r="I115" s="101"/>
      <c r="J115" s="101"/>
      <c r="K115" s="101"/>
      <c r="L115" s="101"/>
    </row>
    <row r="116">
      <c r="A116" s="107"/>
      <c r="B116" s="107"/>
      <c r="C116" s="107"/>
      <c r="D116" s="107"/>
      <c r="E116" s="107"/>
      <c r="F116" s="107"/>
      <c r="G116" s="101"/>
      <c r="H116" s="101"/>
      <c r="I116" s="101"/>
      <c r="J116" s="101"/>
      <c r="K116" s="101"/>
      <c r="L116" s="101"/>
    </row>
  </sheetData>
  <mergeCells count="4">
    <mergeCell ref="A1:L1"/>
    <mergeCell ref="A2:D2"/>
    <mergeCell ref="E2:F2"/>
    <mergeCell ref="G2:L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0.63"/>
  </cols>
  <sheetData>
    <row r="1">
      <c r="A1" s="108" t="s">
        <v>44</v>
      </c>
    </row>
    <row r="2">
      <c r="A2" s="109"/>
      <c r="B2" s="110"/>
      <c r="C2" s="110"/>
      <c r="D2" s="110"/>
      <c r="E2" s="110"/>
      <c r="F2" s="110"/>
      <c r="G2" s="110"/>
      <c r="H2" s="110"/>
      <c r="I2" s="110"/>
      <c r="J2" s="110"/>
    </row>
    <row r="3">
      <c r="A3" s="111" t="s">
        <v>45</v>
      </c>
    </row>
    <row r="4">
      <c r="A4" s="109"/>
      <c r="B4" s="110"/>
      <c r="C4" s="110"/>
      <c r="D4" s="110"/>
      <c r="E4" s="110"/>
      <c r="F4" s="110"/>
      <c r="G4" s="110"/>
      <c r="H4" s="110"/>
      <c r="I4" s="110"/>
      <c r="J4" s="110"/>
    </row>
    <row r="5">
      <c r="A5" s="109"/>
      <c r="B5" s="112" t="s">
        <v>46</v>
      </c>
      <c r="J5" s="109"/>
    </row>
    <row r="6">
      <c r="A6" s="109"/>
      <c r="B6" s="110"/>
      <c r="C6" s="109"/>
      <c r="D6" s="109"/>
      <c r="E6" s="109"/>
      <c r="F6" s="109"/>
      <c r="G6" s="109"/>
      <c r="H6" s="109"/>
      <c r="I6" s="109"/>
      <c r="J6" s="109"/>
    </row>
    <row r="7">
      <c r="A7" s="109"/>
      <c r="B7" s="110"/>
      <c r="C7" s="113" t="s">
        <v>47</v>
      </c>
      <c r="I7" s="109"/>
      <c r="J7" s="109"/>
    </row>
  </sheetData>
  <mergeCells count="4">
    <mergeCell ref="A1:J1"/>
    <mergeCell ref="A3:J3"/>
    <mergeCell ref="B5:I5"/>
    <mergeCell ref="C7:H7"/>
  </mergeCells>
  <hyperlinks>
    <hyperlink r:id="rId1" ref="C7"/>
  </hyperlinks>
  <drawing r:id="rId2"/>
</worksheet>
</file>